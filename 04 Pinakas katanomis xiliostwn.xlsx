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ΕΠΑΓΓΕΛΜΑΤΙΚΑ\i_ΜΕΛΕΤΗ\09_Συμβόλαια\Σύσταση\Πίνακας Κατανομής χιλιοστών v.1b By Elenus Rufus - michanikos.gr\"/>
    </mc:Choice>
  </mc:AlternateContent>
  <xr:revisionPtr revIDLastSave="0" documentId="13_ncr:1_{3BA08E74-DFFC-4A57-8329-D6D674B9CA42}" xr6:coauthVersionLast="47" xr6:coauthVersionMax="47" xr10:uidLastSave="{00000000-0000-0000-0000-000000000000}"/>
  <bookViews>
    <workbookView xWindow="-103" yWindow="-103" windowWidth="33120" windowHeight="18000" xr2:uid="{00000000-000D-0000-FFFF-FFFF00000000}"/>
  </bookViews>
  <sheets>
    <sheet name="ΠΙΝΑΚΑΣ" sheetId="1" r:id="rId1"/>
    <sheet name="ΟΔΗΓΙΕΣ"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48" i="1" l="1"/>
  <c r="D49" i="1"/>
  <c r="B45" i="1"/>
  <c r="D45" i="1" s="1"/>
  <c r="B46" i="1"/>
  <c r="D46" i="1" s="1"/>
  <c r="B47" i="1"/>
  <c r="D47" i="1" s="1"/>
  <c r="B44" i="1"/>
  <c r="D44" i="1" s="1"/>
  <c r="B39" i="1"/>
  <c r="D39" i="1" s="1"/>
  <c r="B40" i="1"/>
  <c r="D40" i="1" s="1"/>
  <c r="D33" i="1"/>
  <c r="B32" i="1"/>
  <c r="D32" i="1" s="1"/>
  <c r="B33" i="1"/>
  <c r="H9" i="1"/>
  <c r="B31" i="1" s="1"/>
  <c r="D31" i="1" s="1"/>
  <c r="H8" i="1"/>
  <c r="B30" i="1" s="1"/>
  <c r="D30" i="1" s="1"/>
  <c r="G13" i="1"/>
  <c r="J13" i="1" s="1"/>
  <c r="G12" i="1"/>
  <c r="J12" i="1" s="1"/>
  <c r="E14" i="1"/>
  <c r="G7" i="1"/>
  <c r="J7" i="1" s="1"/>
  <c r="D50" i="1" l="1"/>
  <c r="N9" i="1"/>
  <c r="D34" i="1"/>
  <c r="B37" i="1"/>
  <c r="D37" i="1" s="1"/>
  <c r="B38" i="1"/>
  <c r="D38" i="1" s="1"/>
  <c r="G14" i="1"/>
  <c r="H14" i="1"/>
  <c r="I10" i="1" s="1"/>
  <c r="J10" i="1" s="1"/>
  <c r="P9" i="1" l="1"/>
  <c r="O9" i="1"/>
  <c r="N11" i="1"/>
  <c r="N13" i="1"/>
  <c r="N10" i="1"/>
  <c r="N8" i="1"/>
  <c r="N12" i="1"/>
  <c r="D41" i="1"/>
  <c r="L11" i="1"/>
  <c r="L8" i="1"/>
  <c r="L9" i="1"/>
  <c r="L10" i="1"/>
  <c r="I9" i="1"/>
  <c r="J9" i="1" s="1"/>
  <c r="I8" i="1"/>
  <c r="J8" i="1"/>
  <c r="I11" i="1"/>
  <c r="J11" i="1" s="1"/>
  <c r="K11" i="1"/>
  <c r="K10" i="1"/>
  <c r="K8" i="1"/>
  <c r="K9" i="1"/>
  <c r="P12" i="1" l="1"/>
  <c r="O12" i="1"/>
  <c r="P13" i="1"/>
  <c r="O13" i="1"/>
  <c r="J14" i="1"/>
  <c r="O8" i="1"/>
  <c r="O14" i="1" s="1"/>
  <c r="P8" i="1"/>
  <c r="P14" i="1" s="1"/>
  <c r="N14" i="1"/>
  <c r="O10" i="1"/>
  <c r="P10" i="1"/>
  <c r="O11" i="1"/>
  <c r="P11" i="1"/>
  <c r="L14" i="1"/>
  <c r="M11" i="1"/>
  <c r="M10" i="1"/>
  <c r="M8" i="1"/>
  <c r="M9" i="1"/>
  <c r="K14" i="1"/>
  <c r="I14" i="1"/>
  <c r="M14" i="1" l="1"/>
</calcChain>
</file>

<file path=xl/sharedStrings.xml><?xml version="1.0" encoding="utf-8"?>
<sst xmlns="http://schemas.openxmlformats.org/spreadsheetml/2006/main" count="236" uniqueCount="171">
  <si>
    <t>Οροφος</t>
  </si>
  <si>
    <t>Χώρος</t>
  </si>
  <si>
    <t>Όγκος Βοηθητικών Χώρων</t>
  </si>
  <si>
    <t>μ2</t>
  </si>
  <si>
    <t>μ</t>
  </si>
  <si>
    <t>μ3</t>
  </si>
  <si>
    <t>Ισόγειο</t>
  </si>
  <si>
    <t>*Αποθήκη 1</t>
  </si>
  <si>
    <t>Α1</t>
  </si>
  <si>
    <t>Διαμέρισμα 1</t>
  </si>
  <si>
    <t>Δ1</t>
  </si>
  <si>
    <t>Κατάστημα</t>
  </si>
  <si>
    <t>Κ</t>
  </si>
  <si>
    <t>Α' Όροφος</t>
  </si>
  <si>
    <t>Διαμέρισμα 2</t>
  </si>
  <si>
    <t>Δ2</t>
  </si>
  <si>
    <t>Β' Όροφος</t>
  </si>
  <si>
    <t>Διαμέρισμα 3</t>
  </si>
  <si>
    <t>Δ3</t>
  </si>
  <si>
    <t>Δώμα</t>
  </si>
  <si>
    <t>**Αποθήκη 2</t>
  </si>
  <si>
    <t>Α2</t>
  </si>
  <si>
    <t>***Αποθήκη 3</t>
  </si>
  <si>
    <t>Α3</t>
  </si>
  <si>
    <t>Σύνολο</t>
  </si>
  <si>
    <t>Παρατηρήσεις:</t>
  </si>
  <si>
    <t>* Παρακολούθημα στο Διαμέρισμα 1</t>
  </si>
  <si>
    <t>**Υπολογιζόμενα με μελλοντική εξάνλτηση του σ.δ. από τα οποία έχουν κτιστεί τα 16.23</t>
  </si>
  <si>
    <t xml:space="preserve">***Υπολογιζόμενα με μελλοντική εξάνλτηση του σ.δ. </t>
  </si>
  <si>
    <t>Ποσοστά Δαπάνης</t>
  </si>
  <si>
    <t>Ποσοστό</t>
  </si>
  <si>
    <t>Αναλογούντα μ2 Οικοπέδου</t>
  </si>
  <si>
    <t>Ψήφοι</t>
  </si>
  <si>
    <t>Κοινοχρήστων</t>
  </si>
  <si>
    <t>Ανελκυστήρα</t>
  </si>
  <si>
    <t>Θέρμανσης</t>
  </si>
  <si>
    <t>‰</t>
  </si>
  <si>
    <t>όγκος κοινοχρήστων χώρων</t>
  </si>
  <si>
    <t>για τον ανελκυστήρα:</t>
  </si>
  <si>
    <t>ΣΗΜΕΙΩΣΕΙΣ</t>
  </si>
  <si>
    <t>για τη θέρμανση:</t>
  </si>
  <si>
    <t>για το ποσοστό συνιδιοκτησίας:</t>
  </si>
  <si>
    <t>Κωδ. Χώρου</t>
  </si>
  <si>
    <t>Αριθμός Δωματίων</t>
  </si>
  <si>
    <t>Εμβαδόν Χώρου</t>
  </si>
  <si>
    <t>Ύψος Χώρου</t>
  </si>
  <si>
    <t>Ογκος Κυρίων Χώρων</t>
  </si>
  <si>
    <t>Όγκος Αναλογούντων Κοινοχρήστων Χώρων</t>
  </si>
  <si>
    <t>Συνολικός Όγκος</t>
  </si>
  <si>
    <t>Ποσοστό Συνιδιοκτησίας Οικοπέδου</t>
  </si>
  <si>
    <t>εμβαδόν οικοπέδου</t>
  </si>
  <si>
    <t>ΠΙΝΑΚΑΣ ΚΑΤΑΝΟΜΗΣ ΧΙΛΙΟΣΤΩΝ</t>
  </si>
  <si>
    <t>Τα παρακάτω αποτελούν οδηγίες για την συμπλήρωση πίνακα κατανομής χιλιοστών.  Ο εν λόγω πίνακας αποτελείται από 14 στήλες.</t>
  </si>
  <si>
    <t>Στήλη 1</t>
  </si>
  <si>
    <t>Όνομα στήλης: ΟΡΟΦΟΣ</t>
  </si>
  <si>
    <t>Όροφοι της πολυκατοικίας και πιθανοί μελλοντικοί</t>
  </si>
  <si>
    <t>Πχ. Υπόγειο, Ισόγειο, Α’ Όροφος, κλπ.</t>
  </si>
  <si>
    <t>Στήλη 2</t>
  </si>
  <si>
    <t>Όνομα στήλης: ΧΩΡΟΣ</t>
  </si>
  <si>
    <t>Είδος χώρου</t>
  </si>
  <si>
    <t>Πχ. Διαμέρισμα, Κατάστημα, Αποθήκη, Χώρος Στάθμευσης, κλπ</t>
  </si>
  <si>
    <t>Στήλη 3</t>
  </si>
  <si>
    <t>Όνομα στήλης: ΚΩΔΙΚΟΣ ΧΩΡΟΥ</t>
  </si>
  <si>
    <t>Δίνουμε κωδικό στον κάθε χώρο ο οποίος φαίνεται στα σχέδια και τον οποίο χρησιμοπούν στο συμβόλαιο για να τον ονοματίσουν.</t>
  </si>
  <si>
    <t>Πχ. Δ1 (για το πρώτο διαμέρισμα), Δ2 (για το δεύτερο), Α1 (για την πρώτη αποθήκη), Α2 (για τη δεύτερη), Κ1 (για το πρώτο κατάστημα) κ.ο.κ.</t>
  </si>
  <si>
    <t>Στήλη 4</t>
  </si>
  <si>
    <t>Όνομα στήλης: ΑΡΙΘΜΟΣ ΔΩΜΑΤΙΩΝ</t>
  </si>
  <si>
    <t>(Εύκολο αυτό, ε;)</t>
  </si>
  <si>
    <t>Στήλη 5</t>
  </si>
  <si>
    <t>Όνομα στήλης: ΕΜΒΑΔΟΝ ΧΩΡΟΥ</t>
  </si>
  <si>
    <t>Τετραγωνικά των χώρων. Στην επιφάνεια των χώρων προσμετράμε τους τοίχους τους. Μεταξύ δύο όμορων διαμερισμάτων μετράμε τον μισό τοίχο. Στους τοίχους που γειτονεύουν με κοινόχρηστους τους μετράμε ολόκληρους.</t>
  </si>
  <si>
    <t>Στήλη 6</t>
  </si>
  <si>
    <t>Όνομα στήλης: ΥΨΟΣ ΧΩΡΟΥ</t>
  </si>
  <si>
    <t>ισούται με το ελεύθερο ύψος συν το πάχος της από πάνω πλάκας.</t>
  </si>
  <si>
    <t>Στήλη 7</t>
  </si>
  <si>
    <t>Όνομα στήλης: ΟΓΚΟΣ ΑΝΑΛΟΓΟΥΝΤΩΝ ΚΟΙΝΟΧΡΗΣΤΩΝ ΧΩΡΩΝ</t>
  </si>
  <si>
    <t>Πρώτα υπολογίζουμε τον συνολικό όγκο όλων των κοινόχρηστων χώρων όλων των ορόφων (κλιμακοστάσια, ανελκυστήρες, φωταγωγοί, μηχανοστάσιο, λεβητοστάσιο, κοινόχρηστες αποθήκες, είσοδος, κλπ.) Μετά τον κατανέμουμε ανάλογα με τον όγκο κάθε διαμερίσματος. Προσοχή, η κατανομή γίνεται μόνο στους χώρους κύριας χρήσης (διαμερίσματα, καταστήματα, κλπ) και όχι στους χώρους δευτερεύουσας χρήσης (αποθήκες, θέσεις στάθμευσης, κλπ).</t>
  </si>
  <si>
    <r>
      <t xml:space="preserve">Πχ. Έστω 163,28 ο συνολικός όγκος κοινοχρήστων χώρων και 1063,27 ο συνολικός όγκος των </t>
    </r>
    <r>
      <rPr>
        <u/>
        <sz val="10"/>
        <color theme="1"/>
        <rFont val="Verdana"/>
        <family val="2"/>
        <charset val="161"/>
      </rPr>
      <t>κύριων</t>
    </r>
    <r>
      <rPr>
        <sz val="10"/>
        <color theme="1"/>
        <rFont val="Verdana"/>
        <family val="2"/>
        <charset val="161"/>
      </rPr>
      <t xml:space="preserve"> χώρων. Τότε για κάθε διαμέρισμα έχουμε: 163,28/1067,07 επί τον όγκο κάθε διαμερίσματος.</t>
    </r>
  </si>
  <si>
    <t>Στήλη 8</t>
  </si>
  <si>
    <t>Όνομα στήλης: ΣΥΝΟΛΙΚΟΣ ΟΓΚΟΣ</t>
  </si>
  <si>
    <t>Αθρίζουμε τις δύο προηγούμενες στήλες</t>
  </si>
  <si>
    <t>Στήλη 9</t>
  </si>
  <si>
    <t>Όνομα στήλης: ΔΑΠΑΝΗ ΚΟΙΝΟΧΡΗΣΤΩΝ</t>
  </si>
  <si>
    <t>Κατανέμουμε τα συνολικά χιλιοστά κοινοχρήστων και καθαριότητας ανάλογα με τον όγκο κάθε διαμερίσματος. Δηλαδή πάλι με την απλή μέθοδο των τριών:</t>
  </si>
  <si>
    <t>1000/1067,07 επί τον όγκο κάθε διαμερίσματος (στρογγυλοποιούμε το αποτέλεσμα σε ακέραιο αριθμό)</t>
  </si>
  <si>
    <t>Σημείωση: Βάζουμε 1000 στον αριθμητή γιατί το νούμερο που θέλουμε να βγάλουμε είναι ποσοστό επί τοις χιλίοις.</t>
  </si>
  <si>
    <t>Στήλη 10</t>
  </si>
  <si>
    <t>Όνομα στήλης: ΔΑΠΑΝΗ ΑΝΕΛΚΥΣΤΗΡΑ</t>
  </si>
  <si>
    <t>Πρώτα πολλαπλασιάζουμε τον όγκο κάθε διαμερίσματος με συντελεστή ως ακολούθως:</t>
  </si>
  <si>
    <t>0,40 για το ισόγειο</t>
  </si>
  <si>
    <t>1,00 για το Α’ όροφο</t>
  </si>
  <si>
    <t>1,50 για τον Β’ όροφο</t>
  </si>
  <si>
    <t>2,00 για τον Γ’ όροφο κ.ο.κ. (0,50 επιπλέον για κάθε όροφο)</t>
  </si>
  <si>
    <t>Υπολογίζουμε τον συνολικό όγκο βάσει των παραπάνω συντελεστών.</t>
  </si>
  <si>
    <t>Πχ. Έστω ο νέος συνολικός όγκος διαμερισμάτων 1055,83. Τότε έχουμε:</t>
  </si>
  <si>
    <t>1000/1055,83 επί τον νέο όγκο κάθε διαμερίσματος (στρογγυλοποιούμε το αποτέλεσμα σε ακέραιο αριθμό).</t>
  </si>
  <si>
    <t>Στήλη 11</t>
  </si>
  <si>
    <t>Όνομα στήλης: ΔΑΠΑΝΗ ΘΕΡΜΑΝΣΗΣ</t>
  </si>
  <si>
    <t>Αν υπάρχει μελέτη θέρμανσης, η κατανομή γίνεται με βάση αυτήν. Αλλιώς ακολουθούμε ανάλογη μέθοδο με τα παραπάνω. Δηλαδή πολλαπλασιάζουμε τον όγκο κάθε διαμερίσματος με τους παρακάτω συντελεστές:</t>
  </si>
  <si>
    <t>1,00 για το ισόγειο</t>
  </si>
  <si>
    <t>1,05 για τον Α’ όροφο</t>
  </si>
  <si>
    <t>1,10 για τον Β’ όροφο</t>
  </si>
  <si>
    <t>1,15 για τον Γ’ όροφο κ.ο.κ. (0,05 επιπλέον για κάθε όροφο)</t>
  </si>
  <si>
    <t>Υπολογίζουμε και πάλι τον συνολικό όγκο βάσει των παραπάνω συντελεστών.</t>
  </si>
  <si>
    <t>Πχ. Έστω ο νέος συνολικός όγκος διαμερισμάτων 1122,57. Τότε έχουμε:</t>
  </si>
  <si>
    <t>1000/1122,57 επί τον νέο όγκο κάθε διαμερίσματος (στρογγυλοποιούμε το αποτέλεσμα σε ακέραιο αριθμό).</t>
  </si>
  <si>
    <t>Στήλη 12</t>
  </si>
  <si>
    <t>Όνομα στήλης: ΠΟΣΟΣΤΟ ΣΥΝΙΔΙΟΚΤΗΣΙΑΣ ΟΙΚΟΠΕΔΟΥ</t>
  </si>
  <si>
    <t>Αυτή η στήλη έχει τα λεγόμενα χιλιοστά. Σε αυτή τη στήλη κατανέμονται χιλιστά και σε ιδιόχρηστες αποθήκες, όχι όμως σε θέσεις στάθμευσης, εκτός και αν υπάρχει άλλη συμφωνία. Εδώ η κατανομή γίνεται βάσει της αξίας της κάθε ιδιοκτησίας. Αν την γνωρίζουμε έχει καλώς. Αλλιώς θέτουμε εμείς ένα ποσό ανά τετραγωνικό μέτρο.</t>
  </si>
  <si>
    <t xml:space="preserve">Πχ. 1000 €/μ2 για ισόγεια αποθήκη </t>
  </si>
  <si>
    <t>1500 €/μ2 για ισόγειο διαμέρισμα</t>
  </si>
  <si>
    <t>2500 €/μ2 για ισόγειο κατάστημα</t>
  </si>
  <si>
    <t>2000 €/μ2 για διαμέρισμα Α’ ορόφου</t>
  </si>
  <si>
    <t>2200 €/μ2 για διαμέρισμα Β’ ορόφου κλπ.</t>
  </si>
  <si>
    <t>Υπολογίζουμε με αυτό τον τρόπο την αξία κάθε ιδιοκτησίας. Κατόπιν υπολογίζουμε το άθροισμα των αξιών αυτών (αξία οικοδομής). Τότε τα χιλιοστά κάθε χώρου είναι:</t>
  </si>
  <si>
    <t>Αξία ιδιοκτησίας/αξία οικοδομής επί 1000. (στρογγυλοποιούμε το αποτέλεσμα σε ακέραιο αριθμό)</t>
  </si>
  <si>
    <t>Αν υπάρχει μελλοντικός όροφος υπολογίζουμε και αυτόν στα χιλιοστά.</t>
  </si>
  <si>
    <t>Στήλη 13</t>
  </si>
  <si>
    <t>Όνομα στήλης: ΑΝΑΛΟΓΟΥΝΤΑ μ2 ΟΙΚΟΠΕΔΟΥ</t>
  </si>
  <si>
    <t>«Μεταφράζουμε» τα χιλιοστά της προηγούμενης στήλης σε τετραγωνικά επί του οικοπέδου. Δηλαδή χιλιοστά ιδιοκτησίας/1000 επί το εμβαδόν του οικοπέδου.</t>
  </si>
  <si>
    <t>Στήλη 14</t>
  </si>
  <si>
    <t>Όνομα στήλης: ΨΗΦΟΙ</t>
  </si>
  <si>
    <t>Οι ψήφοι είναι ο ίδιος αριθμός με τα χιλιοστά.</t>
  </si>
  <si>
    <t>Πατακάτω ακολουθεί ενδεικτικός πίνακας ως παράδειγμα των παραπάνω. Λόγω μεγέθους έχει κοπεί στα δύο.</t>
  </si>
  <si>
    <t>Κωδ.</t>
  </si>
  <si>
    <t>Χώρου</t>
  </si>
  <si>
    <t>Αριθμός</t>
  </si>
  <si>
    <t>Δωματίων</t>
  </si>
  <si>
    <t>Εμβαδόν</t>
  </si>
  <si>
    <t>Ύψος</t>
  </si>
  <si>
    <t xml:space="preserve">Ογκος  </t>
  </si>
  <si>
    <t>Κυρίων Χώρων</t>
  </si>
  <si>
    <t>Όγκος Αναλογούντων</t>
  </si>
  <si>
    <t>Κοινοχρήστων Χώρων</t>
  </si>
  <si>
    <t>Συνολικός</t>
  </si>
  <si>
    <t>Όγκος</t>
  </si>
  <si>
    <t>18.70</t>
  </si>
  <si>
    <t>3.20</t>
  </si>
  <si>
    <t>59.84</t>
  </si>
  <si>
    <t>65.00</t>
  </si>
  <si>
    <t>208.00</t>
  </si>
  <si>
    <t>35.18</t>
  </si>
  <si>
    <t>243.18</t>
  </si>
  <si>
    <t>28.35</t>
  </si>
  <si>
    <t>4.20</t>
  </si>
  <si>
    <t>119.07</t>
  </si>
  <si>
    <t>20.14</t>
  </si>
  <si>
    <t>139.21</t>
  </si>
  <si>
    <t>102.25</t>
  </si>
  <si>
    <t>3.60</t>
  </si>
  <si>
    <t>370.00</t>
  </si>
  <si>
    <t>62.58</t>
  </si>
  <si>
    <t>432.58</t>
  </si>
  <si>
    <t>25.95</t>
  </si>
  <si>
    <t>2.90</t>
  </si>
  <si>
    <t>75.26</t>
  </si>
  <si>
    <t>9.72</t>
  </si>
  <si>
    <t>28.19</t>
  </si>
  <si>
    <t>352.22</t>
  </si>
  <si>
    <t>163.28</t>
  </si>
  <si>
    <t>1,067.07</t>
  </si>
  <si>
    <t>180.49</t>
  </si>
  <si>
    <t>1,410.85</t>
  </si>
  <si>
    <t>Συνιδιοκτησίας</t>
  </si>
  <si>
    <t>Οικοπέδου</t>
  </si>
  <si>
    <t>27.65</t>
  </si>
  <si>
    <t>24.25</t>
  </si>
  <si>
    <t>64.14</t>
  </si>
  <si>
    <t>68.14</t>
  </si>
  <si>
    <t>13.02</t>
  </si>
  <si>
    <t>200.40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</si>
</sst>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61"/>
      <scheme val="minor"/>
    </font>
    <font>
      <sz val="11"/>
      <color rgb="FFFF0000"/>
      <name val="Calibri"/>
      <family val="2"/>
      <charset val="161"/>
      <scheme val="minor"/>
    </font>
    <font>
      <b/>
      <sz val="11"/>
      <color theme="1"/>
      <name val="Calibri"/>
      <family val="2"/>
      <charset val="161"/>
      <scheme val="minor"/>
    </font>
    <font>
      <sz val="10"/>
      <color theme="1"/>
      <name val="Times New Roman"/>
      <family val="1"/>
      <charset val="161"/>
    </font>
    <font>
      <b/>
      <sz val="10"/>
      <color rgb="FF800000"/>
      <name val="Verdana"/>
      <family val="2"/>
      <charset val="161"/>
    </font>
    <font>
      <b/>
      <sz val="10"/>
      <color theme="1"/>
      <name val="Verdana"/>
      <family val="2"/>
      <charset val="161"/>
    </font>
    <font>
      <sz val="10"/>
      <color theme="1"/>
      <name val="Verdana"/>
      <family val="2"/>
      <charset val="161"/>
    </font>
    <font>
      <sz val="10"/>
      <color theme="1"/>
      <name val="Arial"/>
      <family val="2"/>
      <charset val="161"/>
    </font>
    <font>
      <b/>
      <u/>
      <sz val="10"/>
      <color theme="1"/>
      <name val="Verdana"/>
      <family val="2"/>
      <charset val="161"/>
    </font>
    <font>
      <u/>
      <sz val="10"/>
      <color theme="1"/>
      <name val="Verdana"/>
      <family val="2"/>
      <charset val="161"/>
    </font>
  </fonts>
  <fills count="2">
    <fill>
      <patternFill patternType="none"/>
    </fill>
    <fill>
      <patternFill patternType="gray125"/>
    </fill>
  </fills>
  <borders count="26">
    <border>
      <left/>
      <right/>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dotted">
        <color indexed="64"/>
      </top>
      <bottom/>
      <diagonal/>
    </border>
    <border>
      <left/>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medium">
        <color rgb="FF000000"/>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right style="medium">
        <color indexed="64"/>
      </right>
      <top/>
      <bottom style="medium">
        <color rgb="FF000000"/>
      </bottom>
      <diagonal/>
    </border>
    <border>
      <left style="medium">
        <color indexed="64"/>
      </left>
      <right style="medium">
        <color indexed="64"/>
      </right>
      <top/>
      <bottom style="medium">
        <color rgb="FF000000"/>
      </bottom>
      <diagonal/>
    </border>
    <border>
      <left style="medium">
        <color indexed="64"/>
      </left>
      <right/>
      <top style="medium">
        <color indexed="64"/>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style="medium">
        <color rgb="FF000000"/>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03">
    <xf numFmtId="0" fontId="0" fillId="0" borderId="0" xfId="0"/>
    <xf numFmtId="0" fontId="3" fillId="0" borderId="0" xfId="0" applyFont="1" applyAlignment="1">
      <alignment vertical="center" wrapText="1"/>
    </xf>
    <xf numFmtId="0" fontId="5" fillId="0" borderId="0" xfId="0" applyFont="1" applyAlignment="1">
      <alignment vertical="center"/>
    </xf>
    <xf numFmtId="0" fontId="6" fillId="0" borderId="0" xfId="0" applyFont="1" applyAlignment="1">
      <alignment vertical="center"/>
    </xf>
    <xf numFmtId="0" fontId="6" fillId="0" borderId="0" xfId="0" applyFont="1" applyAlignment="1">
      <alignment vertical="center" wrapText="1"/>
    </xf>
    <xf numFmtId="0" fontId="6" fillId="0" borderId="0" xfId="0" applyFont="1" applyAlignment="1">
      <alignment horizontal="center" vertical="center"/>
    </xf>
    <xf numFmtId="0" fontId="6" fillId="0" borderId="0" xfId="0" applyFont="1" applyAlignment="1">
      <alignment vertical="center"/>
    </xf>
    <xf numFmtId="0" fontId="0" fillId="0" borderId="2" xfId="0" applyBorder="1"/>
    <xf numFmtId="2" fontId="0" fillId="0" borderId="0" xfId="0" applyNumberFormat="1"/>
    <xf numFmtId="2" fontId="6" fillId="0" borderId="0" xfId="0" applyNumberFormat="1" applyFont="1" applyBorder="1" applyAlignment="1">
      <alignment horizontal="right" vertical="center"/>
    </xf>
    <xf numFmtId="1" fontId="0" fillId="0" borderId="0" xfId="0" applyNumberFormat="1"/>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5" fillId="0" borderId="3" xfId="0" applyFont="1" applyBorder="1" applyAlignment="1">
      <alignment vertical="center"/>
    </xf>
    <xf numFmtId="0" fontId="6" fillId="0" borderId="3" xfId="0" applyFont="1" applyBorder="1" applyAlignment="1">
      <alignment horizontal="center" vertical="center"/>
    </xf>
    <xf numFmtId="0" fontId="5" fillId="0" borderId="3" xfId="0" applyFont="1" applyBorder="1" applyAlignment="1">
      <alignment horizontal="center" vertical="center"/>
    </xf>
    <xf numFmtId="0" fontId="5" fillId="0" borderId="3" xfId="0" applyFont="1" applyBorder="1" applyAlignment="1">
      <alignment horizontal="center" vertical="center" wrapText="1"/>
    </xf>
    <xf numFmtId="0" fontId="7" fillId="0" borderId="3" xfId="0" applyFont="1" applyBorder="1" applyAlignment="1">
      <alignment horizontal="center" vertical="center"/>
    </xf>
    <xf numFmtId="0" fontId="6" fillId="0" borderId="3" xfId="0" applyFont="1" applyBorder="1" applyAlignment="1">
      <alignment vertical="center"/>
    </xf>
    <xf numFmtId="2" fontId="6" fillId="0" borderId="3" xfId="0" applyNumberFormat="1" applyFont="1" applyBorder="1" applyAlignment="1">
      <alignment horizontal="right" vertical="center"/>
    </xf>
    <xf numFmtId="2" fontId="5" fillId="0" borderId="3" xfId="0" applyNumberFormat="1" applyFont="1" applyBorder="1" applyAlignment="1">
      <alignment horizontal="right" vertical="center"/>
    </xf>
    <xf numFmtId="2" fontId="6" fillId="0" borderId="3" xfId="0" applyNumberFormat="1" applyFont="1" applyBorder="1" applyAlignment="1">
      <alignment vertical="center"/>
    </xf>
    <xf numFmtId="1" fontId="6" fillId="0" borderId="3" xfId="0" applyNumberFormat="1" applyFont="1" applyBorder="1" applyAlignment="1">
      <alignment horizontal="right" vertical="center"/>
    </xf>
    <xf numFmtId="0" fontId="6" fillId="0" borderId="4" xfId="0" applyFont="1" applyBorder="1" applyAlignment="1">
      <alignment vertical="center"/>
    </xf>
    <xf numFmtId="0" fontId="6" fillId="0" borderId="4" xfId="0" applyFont="1" applyBorder="1" applyAlignment="1">
      <alignment horizontal="center" vertical="center"/>
    </xf>
    <xf numFmtId="2" fontId="6" fillId="0" borderId="4" xfId="0" applyNumberFormat="1" applyFont="1" applyBorder="1" applyAlignment="1">
      <alignment horizontal="right" vertical="center"/>
    </xf>
    <xf numFmtId="0" fontId="6" fillId="0" borderId="5" xfId="0" applyFont="1" applyBorder="1" applyAlignment="1">
      <alignment vertical="center"/>
    </xf>
    <xf numFmtId="0" fontId="6" fillId="0" borderId="5" xfId="0" applyFont="1" applyBorder="1" applyAlignment="1">
      <alignment horizontal="center" vertical="center"/>
    </xf>
    <xf numFmtId="2" fontId="5" fillId="0" borderId="5" xfId="0" applyNumberFormat="1" applyFont="1" applyBorder="1" applyAlignment="1">
      <alignment horizontal="right" vertical="center"/>
    </xf>
    <xf numFmtId="2" fontId="6" fillId="0" borderId="5" xfId="0" applyNumberFormat="1" applyFont="1" applyBorder="1" applyAlignment="1">
      <alignment horizontal="right" vertical="center"/>
    </xf>
    <xf numFmtId="2" fontId="6" fillId="0" borderId="5" xfId="0" applyNumberFormat="1" applyFont="1" applyBorder="1" applyAlignment="1">
      <alignment vertical="center"/>
    </xf>
    <xf numFmtId="1" fontId="6" fillId="0" borderId="5" xfId="0" applyNumberFormat="1" applyFont="1" applyBorder="1" applyAlignment="1">
      <alignment horizontal="right" vertical="center"/>
    </xf>
    <xf numFmtId="0" fontId="6" fillId="0" borderId="6" xfId="0" applyFont="1" applyBorder="1" applyAlignment="1">
      <alignment vertical="center"/>
    </xf>
    <xf numFmtId="0" fontId="6" fillId="0" borderId="6" xfId="0" applyFont="1" applyBorder="1" applyAlignment="1">
      <alignment horizontal="center" vertical="center"/>
    </xf>
    <xf numFmtId="2" fontId="5" fillId="0" borderId="6" xfId="0" applyNumberFormat="1" applyFont="1" applyBorder="1" applyAlignment="1">
      <alignment horizontal="right" vertical="center"/>
    </xf>
    <xf numFmtId="2" fontId="6" fillId="0" borderId="6" xfId="0" applyNumberFormat="1" applyFont="1" applyBorder="1" applyAlignment="1">
      <alignment horizontal="right" vertical="center"/>
    </xf>
    <xf numFmtId="2" fontId="6" fillId="0" borderId="6" xfId="0" applyNumberFormat="1" applyFont="1" applyBorder="1" applyAlignment="1">
      <alignment vertical="center"/>
    </xf>
    <xf numFmtId="1" fontId="6" fillId="0" borderId="6" xfId="0" applyNumberFormat="1" applyFont="1" applyBorder="1" applyAlignment="1">
      <alignment horizontal="right" vertical="center"/>
    </xf>
    <xf numFmtId="2" fontId="6" fillId="0" borderId="4" xfId="0" applyNumberFormat="1" applyFont="1" applyBorder="1" applyAlignment="1">
      <alignment vertical="center"/>
    </xf>
    <xf numFmtId="1" fontId="6" fillId="0" borderId="4" xfId="0" applyNumberFormat="1" applyFont="1" applyBorder="1" applyAlignment="1">
      <alignment vertical="center"/>
    </xf>
    <xf numFmtId="1" fontId="6" fillId="0" borderId="4" xfId="0" applyNumberFormat="1" applyFont="1" applyBorder="1" applyAlignment="1">
      <alignment horizontal="right" vertical="center"/>
    </xf>
    <xf numFmtId="0" fontId="6" fillId="0" borderId="7" xfId="0" applyFont="1" applyBorder="1" applyAlignment="1">
      <alignment vertical="center"/>
    </xf>
    <xf numFmtId="2" fontId="6" fillId="0" borderId="9" xfId="0" applyNumberFormat="1" applyFont="1" applyBorder="1" applyAlignment="1">
      <alignment horizontal="right" vertical="center"/>
    </xf>
    <xf numFmtId="2" fontId="6" fillId="0" borderId="1" xfId="0" applyNumberFormat="1" applyFont="1" applyBorder="1" applyAlignment="1">
      <alignment horizontal="right" vertical="center"/>
    </xf>
    <xf numFmtId="2" fontId="6" fillId="0" borderId="10" xfId="0" applyNumberFormat="1" applyFont="1" applyBorder="1" applyAlignment="1">
      <alignment vertical="center"/>
    </xf>
    <xf numFmtId="2" fontId="6" fillId="0" borderId="9" xfId="0" applyNumberFormat="1" applyFont="1" applyBorder="1" applyAlignment="1">
      <alignment vertical="center"/>
    </xf>
    <xf numFmtId="0" fontId="6" fillId="0" borderId="1" xfId="0" applyFont="1" applyBorder="1" applyAlignment="1">
      <alignment horizontal="right" vertical="center"/>
    </xf>
    <xf numFmtId="0" fontId="6" fillId="0" borderId="9" xfId="0" applyFont="1" applyBorder="1" applyAlignment="1">
      <alignment vertical="center"/>
    </xf>
    <xf numFmtId="1" fontId="6" fillId="0" borderId="9" xfId="0" applyNumberFormat="1" applyFont="1" applyBorder="1" applyAlignment="1">
      <alignment vertical="center"/>
    </xf>
    <xf numFmtId="1" fontId="6" fillId="0" borderId="9" xfId="0" applyNumberFormat="1" applyFont="1" applyBorder="1" applyAlignment="1">
      <alignment horizontal="right" vertical="center"/>
    </xf>
    <xf numFmtId="1" fontId="6" fillId="0" borderId="1" xfId="0" applyNumberFormat="1" applyFont="1" applyBorder="1" applyAlignment="1">
      <alignment horizontal="right" vertical="center"/>
    </xf>
    <xf numFmtId="0" fontId="1" fillId="0" borderId="0" xfId="0" applyFont="1" applyAlignment="1">
      <alignment horizontal="center"/>
    </xf>
    <xf numFmtId="0" fontId="5" fillId="0" borderId="3" xfId="0" applyFont="1" applyBorder="1" applyAlignment="1">
      <alignment horizontal="center" vertical="center" wrapText="1"/>
    </xf>
    <xf numFmtId="0" fontId="5" fillId="0" borderId="3" xfId="0" applyFont="1" applyBorder="1" applyAlignment="1">
      <alignment horizontal="center" vertical="center"/>
    </xf>
    <xf numFmtId="0" fontId="2" fillId="0" borderId="7" xfId="0" applyFont="1" applyBorder="1" applyAlignment="1">
      <alignment horizontal="center"/>
    </xf>
    <xf numFmtId="0" fontId="2" fillId="0" borderId="10" xfId="0" applyFont="1" applyBorder="1" applyAlignment="1">
      <alignment horizontal="center"/>
    </xf>
    <xf numFmtId="0" fontId="2" fillId="0" borderId="8" xfId="0" applyFont="1" applyBorder="1" applyAlignment="1">
      <alignment horizontal="center"/>
    </xf>
    <xf numFmtId="0" fontId="6" fillId="0" borderId="0" xfId="0" applyFont="1" applyAlignment="1">
      <alignment vertical="center"/>
    </xf>
    <xf numFmtId="0" fontId="5" fillId="0" borderId="3" xfId="0" applyFont="1" applyBorder="1" applyAlignment="1">
      <alignment vertical="center"/>
    </xf>
    <xf numFmtId="0" fontId="4" fillId="0" borderId="3" xfId="0" applyFont="1" applyBorder="1" applyAlignment="1">
      <alignment horizontal="center" vertical="center" wrapText="1"/>
    </xf>
    <xf numFmtId="0" fontId="8" fillId="0" borderId="0" xfId="0" applyFont="1" applyAlignment="1">
      <alignment horizontal="center" vertical="center"/>
    </xf>
    <xf numFmtId="0" fontId="6" fillId="0" borderId="0" xfId="0" applyFont="1" applyAlignment="1">
      <alignment horizontal="justify" vertical="center"/>
    </xf>
    <xf numFmtId="0" fontId="5" fillId="0" borderId="0" xfId="0" applyFont="1" applyAlignment="1">
      <alignment horizontal="justify" vertical="center"/>
    </xf>
    <xf numFmtId="0" fontId="6" fillId="0" borderId="0" xfId="0" applyFont="1"/>
    <xf numFmtId="0" fontId="4" fillId="0" borderId="1" xfId="0" applyFont="1" applyBorder="1" applyAlignment="1">
      <alignment horizontal="center" vertical="center"/>
    </xf>
    <xf numFmtId="0" fontId="4" fillId="0" borderId="11" xfId="0" applyFont="1" applyBorder="1" applyAlignment="1">
      <alignment horizontal="center" vertical="center"/>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7" xfId="0" applyFont="1" applyBorder="1" applyAlignment="1">
      <alignment horizontal="center" vertical="center" wrapText="1"/>
    </xf>
    <xf numFmtId="0" fontId="6" fillId="0" borderId="13" xfId="0" applyFont="1" applyBorder="1" applyAlignment="1">
      <alignment horizontal="center" vertical="center"/>
    </xf>
    <xf numFmtId="0" fontId="5" fillId="0" borderId="15" xfId="0" applyFont="1" applyBorder="1" applyAlignment="1">
      <alignment horizontal="center" vertical="center"/>
    </xf>
    <xf numFmtId="0" fontId="6" fillId="0" borderId="15" xfId="0" applyFont="1" applyBorder="1" applyAlignment="1">
      <alignment horizontal="center" vertical="center"/>
    </xf>
    <xf numFmtId="0" fontId="6" fillId="0" borderId="15" xfId="0" applyFont="1" applyBorder="1" applyAlignment="1">
      <alignment vertical="center"/>
    </xf>
    <xf numFmtId="0" fontId="6" fillId="0" borderId="15" xfId="0" applyFont="1" applyBorder="1" applyAlignment="1">
      <alignment horizontal="right" vertical="center"/>
    </xf>
    <xf numFmtId="0" fontId="5" fillId="0" borderId="15" xfId="0" applyFont="1" applyBorder="1" applyAlignment="1">
      <alignment horizontal="right" vertical="center"/>
    </xf>
    <xf numFmtId="0" fontId="5" fillId="0" borderId="13" xfId="0" applyFont="1" applyBorder="1" applyAlignment="1">
      <alignment vertical="center"/>
    </xf>
    <xf numFmtId="0" fontId="6" fillId="0" borderId="13" xfId="0" applyFont="1" applyBorder="1" applyAlignment="1">
      <alignment vertical="center"/>
    </xf>
    <xf numFmtId="0" fontId="4" fillId="0" borderId="19" xfId="0" applyFont="1" applyBorder="1" applyAlignment="1">
      <alignment horizontal="center" vertical="center" wrapText="1"/>
    </xf>
    <xf numFmtId="0" fontId="4" fillId="0" borderId="12" xfId="0" applyFont="1" applyBorder="1" applyAlignment="1">
      <alignment horizontal="center" vertical="center" wrapText="1"/>
    </xf>
    <xf numFmtId="0" fontId="5" fillId="0" borderId="20" xfId="0" applyFont="1" applyBorder="1" applyAlignment="1">
      <alignment horizontal="center" vertical="center"/>
    </xf>
    <xf numFmtId="0" fontId="5" fillId="0" borderId="13" xfId="0" applyFont="1" applyBorder="1" applyAlignment="1">
      <alignment horizontal="center" vertical="center"/>
    </xf>
    <xf numFmtId="0" fontId="5" fillId="0" borderId="21"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14" xfId="0" applyFont="1" applyBorder="1" applyAlignment="1">
      <alignment vertical="center"/>
    </xf>
    <xf numFmtId="0" fontId="5" fillId="0" borderId="20" xfId="0" applyFont="1" applyBorder="1" applyAlignment="1">
      <alignment vertical="center"/>
    </xf>
    <xf numFmtId="0" fontId="5" fillId="0" borderId="18" xfId="0" applyFont="1" applyBorder="1" applyAlignment="1">
      <alignment vertical="center"/>
    </xf>
    <xf numFmtId="0" fontId="4" fillId="0" borderId="22" xfId="0" applyFont="1" applyBorder="1" applyAlignment="1">
      <alignment horizontal="center" vertical="center"/>
    </xf>
    <xf numFmtId="0" fontId="5" fillId="0" borderId="15" xfId="0" applyFont="1" applyBorder="1" applyAlignment="1">
      <alignment vertical="center"/>
    </xf>
    <xf numFmtId="0" fontId="7" fillId="0" borderId="13" xfId="0" applyFont="1" applyBorder="1" applyAlignment="1">
      <alignment horizontal="center" vertical="center"/>
    </xf>
    <xf numFmtId="0" fontId="7" fillId="0" borderId="15" xfId="0" applyFont="1" applyBorder="1" applyAlignment="1">
      <alignment horizontal="center" vertical="center"/>
    </xf>
    <xf numFmtId="0" fontId="6" fillId="0" borderId="13" xfId="0" applyFont="1" applyBorder="1" applyAlignment="1">
      <alignment horizontal="right" vertical="center"/>
    </xf>
    <xf numFmtId="0" fontId="6" fillId="0" borderId="11" xfId="0" applyFont="1" applyBorder="1" applyAlignment="1">
      <alignment horizontal="right" vertical="center"/>
    </xf>
    <xf numFmtId="0" fontId="5" fillId="0" borderId="24" xfId="0" applyFont="1" applyBorder="1" applyAlignment="1">
      <alignment horizontal="center" vertical="center"/>
    </xf>
    <xf numFmtId="0" fontId="5" fillId="0" borderId="25"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 xfId="0" applyFont="1" applyBorder="1" applyAlignment="1">
      <alignment horizontal="center" vertical="center"/>
    </xf>
    <xf numFmtId="0" fontId="5" fillId="0" borderId="15" xfId="0" applyFont="1" applyBorder="1" applyAlignment="1">
      <alignment horizontal="center" vertical="center"/>
    </xf>
    <xf numFmtId="0" fontId="5" fillId="0" borderId="20"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P52"/>
  <sheetViews>
    <sheetView tabSelected="1" zoomScale="80" zoomScaleNormal="80" workbookViewId="0">
      <selection activeCell="M50" sqref="M50"/>
    </sheetView>
  </sheetViews>
  <sheetFormatPr defaultRowHeight="14.6" x14ac:dyDescent="0.4"/>
  <cols>
    <col min="1" max="1" width="14.69140625" bestFit="1" customWidth="1"/>
    <col min="2" max="2" width="15" bestFit="1" customWidth="1"/>
    <col min="3" max="3" width="8.3046875" bestFit="1" customWidth="1"/>
    <col min="4" max="4" width="13.15234375" customWidth="1"/>
    <col min="5" max="5" width="10.69140625" customWidth="1"/>
    <col min="7" max="7" width="14.3046875" customWidth="1"/>
    <col min="9" max="9" width="17.69140625" customWidth="1"/>
    <col min="10" max="10" width="12.15234375" customWidth="1"/>
    <col min="11" max="11" width="16.53515625" customWidth="1"/>
    <col min="12" max="12" width="15.3046875" bestFit="1" customWidth="1"/>
    <col min="13" max="13" width="12.69140625" bestFit="1" customWidth="1"/>
    <col min="14" max="14" width="16.69140625" customWidth="1"/>
    <col min="15" max="15" width="15" customWidth="1"/>
  </cols>
  <sheetData>
    <row r="3" spans="1:16" x14ac:dyDescent="0.4">
      <c r="A3" s="11">
        <v>1</v>
      </c>
      <c r="B3" s="11">
        <v>2</v>
      </c>
      <c r="C3" s="12">
        <v>3</v>
      </c>
      <c r="D3" s="12">
        <v>4</v>
      </c>
      <c r="E3" s="12">
        <v>5</v>
      </c>
      <c r="F3" s="12">
        <v>6</v>
      </c>
      <c r="G3" s="59">
        <v>7</v>
      </c>
      <c r="H3" s="59"/>
      <c r="I3" s="59"/>
      <c r="J3" s="12">
        <v>8</v>
      </c>
      <c r="K3" s="11">
        <v>9</v>
      </c>
      <c r="L3" s="11">
        <v>10</v>
      </c>
      <c r="M3" s="11">
        <v>11</v>
      </c>
      <c r="N3" s="11">
        <v>12</v>
      </c>
      <c r="O3" s="11">
        <v>13</v>
      </c>
      <c r="P3" s="11">
        <v>14</v>
      </c>
    </row>
    <row r="4" spans="1:16" ht="39" customHeight="1" x14ac:dyDescent="0.4">
      <c r="A4" s="53" t="s">
        <v>0</v>
      </c>
      <c r="B4" s="53" t="s">
        <v>1</v>
      </c>
      <c r="C4" s="52" t="s">
        <v>42</v>
      </c>
      <c r="D4" s="52" t="s">
        <v>43</v>
      </c>
      <c r="E4" s="52" t="s">
        <v>44</v>
      </c>
      <c r="F4" s="52" t="s">
        <v>45</v>
      </c>
      <c r="G4" s="52" t="s">
        <v>2</v>
      </c>
      <c r="H4" s="52" t="s">
        <v>46</v>
      </c>
      <c r="I4" s="52" t="s">
        <v>47</v>
      </c>
      <c r="J4" s="52" t="s">
        <v>48</v>
      </c>
      <c r="K4" s="53" t="s">
        <v>29</v>
      </c>
      <c r="L4" s="53"/>
      <c r="M4" s="53"/>
      <c r="N4" s="52" t="s">
        <v>49</v>
      </c>
      <c r="O4" s="52" t="s">
        <v>31</v>
      </c>
      <c r="P4" s="52" t="s">
        <v>32</v>
      </c>
    </row>
    <row r="5" spans="1:16" x14ac:dyDescent="0.4">
      <c r="A5" s="53"/>
      <c r="B5" s="53"/>
      <c r="C5" s="52"/>
      <c r="D5" s="52"/>
      <c r="E5" s="52"/>
      <c r="F5" s="52"/>
      <c r="G5" s="52"/>
      <c r="H5" s="52"/>
      <c r="I5" s="52"/>
      <c r="J5" s="52"/>
      <c r="K5" s="13" t="s">
        <v>33</v>
      </c>
      <c r="L5" s="13" t="s">
        <v>34</v>
      </c>
      <c r="M5" s="13" t="s">
        <v>35</v>
      </c>
      <c r="N5" s="52"/>
      <c r="O5" s="52"/>
      <c r="P5" s="52"/>
    </row>
    <row r="6" spans="1:16" x14ac:dyDescent="0.4">
      <c r="A6" s="14"/>
      <c r="B6" s="15"/>
      <c r="C6" s="16"/>
      <c r="D6" s="16"/>
      <c r="E6" s="14" t="s">
        <v>3</v>
      </c>
      <c r="F6" s="14" t="s">
        <v>4</v>
      </c>
      <c r="G6" s="14" t="s">
        <v>5</v>
      </c>
      <c r="H6" s="14" t="s">
        <v>5</v>
      </c>
      <c r="I6" s="14" t="s">
        <v>5</v>
      </c>
      <c r="J6" s="14" t="s">
        <v>5</v>
      </c>
      <c r="K6" s="17" t="s">
        <v>36</v>
      </c>
      <c r="L6" s="17" t="s">
        <v>36</v>
      </c>
      <c r="M6" s="17" t="s">
        <v>36</v>
      </c>
      <c r="N6" s="17" t="s">
        <v>36</v>
      </c>
      <c r="O6" s="14" t="s">
        <v>3</v>
      </c>
      <c r="P6" s="17" t="s">
        <v>36</v>
      </c>
    </row>
    <row r="7" spans="1:16" x14ac:dyDescent="0.4">
      <c r="A7" s="58" t="s">
        <v>6</v>
      </c>
      <c r="B7" s="23" t="s">
        <v>7</v>
      </c>
      <c r="C7" s="24" t="s">
        <v>8</v>
      </c>
      <c r="D7" s="24">
        <v>1</v>
      </c>
      <c r="E7" s="25">
        <v>18.7</v>
      </c>
      <c r="F7" s="25">
        <v>3.2</v>
      </c>
      <c r="G7" s="25">
        <f>E7*F7</f>
        <v>59.84</v>
      </c>
      <c r="H7" s="23"/>
      <c r="I7" s="23"/>
      <c r="J7" s="25">
        <f>G7</f>
        <v>59.84</v>
      </c>
      <c r="K7" s="23"/>
      <c r="L7" s="23"/>
      <c r="M7" s="23"/>
      <c r="N7" s="23"/>
      <c r="O7" s="23"/>
      <c r="P7" s="23"/>
    </row>
    <row r="8" spans="1:16" x14ac:dyDescent="0.4">
      <c r="A8" s="58"/>
      <c r="B8" s="26" t="s">
        <v>9</v>
      </c>
      <c r="C8" s="27" t="s">
        <v>10</v>
      </c>
      <c r="D8" s="27">
        <v>5</v>
      </c>
      <c r="E8" s="28">
        <v>65</v>
      </c>
      <c r="F8" s="29">
        <v>3.2</v>
      </c>
      <c r="G8" s="30"/>
      <c r="H8" s="29">
        <f>E8*F8</f>
        <v>208</v>
      </c>
      <c r="I8" s="29">
        <f>(E27/H14)*H8</f>
        <v>35.180297450026707</v>
      </c>
      <c r="J8" s="29">
        <f>H8+I8</f>
        <v>243.1802974500267</v>
      </c>
      <c r="K8" s="31">
        <f>(1000/H14)*H8</f>
        <v>194.92629349527209</v>
      </c>
      <c r="L8" s="31">
        <f>(1000/D34)*D30</f>
        <v>78.800713752618805</v>
      </c>
      <c r="M8" s="31">
        <f>(1000/D41)*D37</f>
        <v>185.28911337377627</v>
      </c>
      <c r="N8" s="31">
        <f>(D44/D50)*1000</f>
        <v>152.19417166565984</v>
      </c>
      <c r="O8" s="29">
        <f>(N8/1000)*E52</f>
        <v>30.499712001798233</v>
      </c>
      <c r="P8" s="31">
        <f>N8</f>
        <v>152.19417166565984</v>
      </c>
    </row>
    <row r="9" spans="1:16" x14ac:dyDescent="0.4">
      <c r="A9" s="58"/>
      <c r="B9" s="32" t="s">
        <v>11</v>
      </c>
      <c r="C9" s="33" t="s">
        <v>12</v>
      </c>
      <c r="D9" s="33">
        <v>2</v>
      </c>
      <c r="E9" s="34">
        <v>28.35</v>
      </c>
      <c r="F9" s="35">
        <v>4.2</v>
      </c>
      <c r="G9" s="36"/>
      <c r="H9" s="35">
        <f t="shared" ref="H9" si="0">E9*F9</f>
        <v>119.07000000000001</v>
      </c>
      <c r="I9" s="35">
        <f>(E27/H14)*H9</f>
        <v>20.139028929685963</v>
      </c>
      <c r="J9" s="35">
        <f t="shared" ref="J9:J11" si="1">H9+I9</f>
        <v>139.20902892968599</v>
      </c>
      <c r="K9" s="37">
        <f>(1000/H14)*H9</f>
        <v>111.58593156962525</v>
      </c>
      <c r="L9" s="37">
        <f>(1000/D34)*D31</f>
        <v>45.109620127520778</v>
      </c>
      <c r="M9" s="37">
        <f>(1000/D41)*D38</f>
        <v>106.06910927603626</v>
      </c>
      <c r="N9" s="37">
        <f>(D45/D50)*1000</f>
        <v>110.63345555696043</v>
      </c>
      <c r="O9" s="35">
        <f>(N9/1000)*E52</f>
        <v>22.170944493614872</v>
      </c>
      <c r="P9" s="37">
        <f t="shared" ref="P9:P13" si="2">N9</f>
        <v>110.63345555696043</v>
      </c>
    </row>
    <row r="10" spans="1:16" x14ac:dyDescent="0.4">
      <c r="A10" s="13" t="s">
        <v>13</v>
      </c>
      <c r="B10" s="18" t="s">
        <v>14</v>
      </c>
      <c r="C10" s="14" t="s">
        <v>15</v>
      </c>
      <c r="D10" s="14">
        <v>6</v>
      </c>
      <c r="E10" s="20">
        <v>102.25</v>
      </c>
      <c r="F10" s="19">
        <v>3.6</v>
      </c>
      <c r="G10" s="21"/>
      <c r="H10" s="19">
        <v>370</v>
      </c>
      <c r="I10" s="19">
        <f>(E27/H14)*H10</f>
        <v>62.580336810143663</v>
      </c>
      <c r="J10" s="19">
        <f t="shared" si="1"/>
        <v>432.58033681014365</v>
      </c>
      <c r="K10" s="22">
        <f>(1000/H14)*H10</f>
        <v>346.74388746755136</v>
      </c>
      <c r="L10" s="22">
        <f>(1000/D34)*D32</f>
        <v>350.43586644794419</v>
      </c>
      <c r="M10" s="22">
        <f>(1000/D41)*D39</f>
        <v>346.08086800823116</v>
      </c>
      <c r="N10" s="22">
        <f>(D46/D50)*1000</f>
        <v>319.21751903207627</v>
      </c>
      <c r="O10" s="19">
        <f>(N10/1000)*E52</f>
        <v>63.971190814028091</v>
      </c>
      <c r="P10" s="22">
        <f t="shared" si="2"/>
        <v>319.21751903207627</v>
      </c>
    </row>
    <row r="11" spans="1:16" x14ac:dyDescent="0.4">
      <c r="A11" s="13" t="s">
        <v>16</v>
      </c>
      <c r="B11" s="18" t="s">
        <v>17</v>
      </c>
      <c r="C11" s="14" t="s">
        <v>18</v>
      </c>
      <c r="D11" s="14">
        <v>4</v>
      </c>
      <c r="E11" s="20">
        <v>102.25</v>
      </c>
      <c r="F11" s="19">
        <v>3.6</v>
      </c>
      <c r="G11" s="21"/>
      <c r="H11" s="19">
        <v>370</v>
      </c>
      <c r="I11" s="19">
        <f>(E27/H14)*H11</f>
        <v>62.580336810143663</v>
      </c>
      <c r="J11" s="19">
        <f t="shared" si="1"/>
        <v>432.58033681014365</v>
      </c>
      <c r="K11" s="22">
        <f>(1000/H14)*H11</f>
        <v>346.74388746755136</v>
      </c>
      <c r="L11" s="22">
        <f>(1000/D34)*D33</f>
        <v>525.65379967191632</v>
      </c>
      <c r="M11" s="22">
        <f>(1000/D41)*D40</f>
        <v>362.56090934195652</v>
      </c>
      <c r="N11" s="22">
        <f>(D47/D50)*1000</f>
        <v>351.13927093528389</v>
      </c>
      <c r="O11" s="19">
        <f>(N11/1000)*E52</f>
        <v>70.368309895430897</v>
      </c>
      <c r="P11" s="22">
        <f t="shared" si="2"/>
        <v>351.13927093528389</v>
      </c>
    </row>
    <row r="12" spans="1:16" x14ac:dyDescent="0.4">
      <c r="A12" s="58" t="s">
        <v>19</v>
      </c>
      <c r="B12" s="23" t="s">
        <v>20</v>
      </c>
      <c r="C12" s="24" t="s">
        <v>21</v>
      </c>
      <c r="D12" s="24">
        <v>2</v>
      </c>
      <c r="E12" s="25">
        <v>25.95</v>
      </c>
      <c r="F12" s="25">
        <v>2.9</v>
      </c>
      <c r="G12" s="25">
        <f>E12*F12</f>
        <v>75.254999999999995</v>
      </c>
      <c r="H12" s="38"/>
      <c r="I12" s="23"/>
      <c r="J12" s="25">
        <f>G12</f>
        <v>75.254999999999995</v>
      </c>
      <c r="K12" s="23"/>
      <c r="L12" s="39"/>
      <c r="M12" s="23"/>
      <c r="N12" s="40">
        <f>(D48/D50)*1000</f>
        <v>48.608476981216896</v>
      </c>
      <c r="O12" s="25">
        <f>(N12/1000)*E52</f>
        <v>9.741138787035867</v>
      </c>
      <c r="P12" s="40">
        <f t="shared" si="2"/>
        <v>48.608476981216896</v>
      </c>
    </row>
    <row r="13" spans="1:16" ht="15" thickBot="1" x14ac:dyDescent="0.45">
      <c r="A13" s="58"/>
      <c r="B13" s="32" t="s">
        <v>22</v>
      </c>
      <c r="C13" s="33" t="s">
        <v>23</v>
      </c>
      <c r="D13" s="33">
        <v>1</v>
      </c>
      <c r="E13" s="42">
        <v>9.7200000000000006</v>
      </c>
      <c r="F13" s="35">
        <v>2.9</v>
      </c>
      <c r="G13" s="42">
        <f>E13*F13</f>
        <v>28.188000000000002</v>
      </c>
      <c r="H13" s="45"/>
      <c r="I13" s="47"/>
      <c r="J13" s="42">
        <f>G13</f>
        <v>28.188000000000002</v>
      </c>
      <c r="K13" s="47"/>
      <c r="L13" s="48"/>
      <c r="M13" s="47"/>
      <c r="N13" s="49">
        <f>(D49/D50)*1000</f>
        <v>18.207105828802629</v>
      </c>
      <c r="O13" s="42">
        <f>(N13/1000)*E52</f>
        <v>3.648704008092047</v>
      </c>
      <c r="P13" s="49">
        <f t="shared" si="2"/>
        <v>18.207105828802629</v>
      </c>
    </row>
    <row r="14" spans="1:16" ht="15" thickBot="1" x14ac:dyDescent="0.45">
      <c r="A14" s="13" t="s">
        <v>24</v>
      </c>
      <c r="B14" s="18"/>
      <c r="C14" s="18"/>
      <c r="D14" s="41"/>
      <c r="E14" s="43">
        <f>SUM(E7:E13)</f>
        <v>352.22</v>
      </c>
      <c r="F14" s="44"/>
      <c r="G14" s="43">
        <f t="shared" ref="G14:P14" si="3">SUM(G7:G13)</f>
        <v>163.28300000000002</v>
      </c>
      <c r="H14" s="46">
        <f t="shared" si="3"/>
        <v>1067.07</v>
      </c>
      <c r="I14" s="43">
        <f t="shared" si="3"/>
        <v>180.48000000000002</v>
      </c>
      <c r="J14" s="43">
        <f t="shared" si="3"/>
        <v>1410.8330000000001</v>
      </c>
      <c r="K14" s="46">
        <f t="shared" si="3"/>
        <v>1000</v>
      </c>
      <c r="L14" s="46">
        <f t="shared" si="3"/>
        <v>1000.0000000000001</v>
      </c>
      <c r="M14" s="46">
        <f t="shared" si="3"/>
        <v>1000.0000000000002</v>
      </c>
      <c r="N14" s="50">
        <f t="shared" si="3"/>
        <v>999.99999999999989</v>
      </c>
      <c r="O14" s="43">
        <f t="shared" si="3"/>
        <v>200.4</v>
      </c>
      <c r="P14" s="50">
        <f t="shared" si="3"/>
        <v>999.99999999999989</v>
      </c>
    </row>
    <row r="15" spans="1:16" x14ac:dyDescent="0.4">
      <c r="A15" s="3"/>
      <c r="B15" s="4"/>
      <c r="C15" s="3"/>
      <c r="D15" s="3"/>
      <c r="E15" s="2"/>
      <c r="F15" s="3"/>
      <c r="G15" s="3"/>
      <c r="H15" s="3"/>
      <c r="I15" s="3"/>
      <c r="J15" s="3"/>
    </row>
    <row r="16" spans="1:16" x14ac:dyDescent="0.4">
      <c r="A16" s="3" t="s">
        <v>25</v>
      </c>
      <c r="B16" s="57" t="s">
        <v>26</v>
      </c>
      <c r="C16" s="57"/>
      <c r="D16" s="57"/>
      <c r="E16" s="57"/>
      <c r="F16" s="3"/>
      <c r="G16" s="3"/>
      <c r="H16" s="3"/>
      <c r="I16" s="3"/>
      <c r="J16" s="3"/>
      <c r="K16" s="1"/>
    </row>
    <row r="17" spans="1:16" x14ac:dyDescent="0.4">
      <c r="A17" s="3"/>
      <c r="B17" s="57" t="s">
        <v>27</v>
      </c>
      <c r="C17" s="57"/>
      <c r="D17" s="57"/>
      <c r="E17" s="57"/>
      <c r="F17" s="57"/>
      <c r="G17" s="57"/>
      <c r="H17" s="57"/>
      <c r="I17" s="57"/>
      <c r="J17" s="3"/>
      <c r="K17" s="1"/>
    </row>
    <row r="18" spans="1:16" x14ac:dyDescent="0.4">
      <c r="A18" s="5"/>
      <c r="B18" s="57" t="s">
        <v>28</v>
      </c>
      <c r="C18" s="57"/>
      <c r="D18" s="57"/>
      <c r="E18" s="57"/>
      <c r="F18" s="57"/>
      <c r="G18" s="57"/>
      <c r="H18" s="57"/>
      <c r="I18" s="57"/>
      <c r="J18" s="3"/>
      <c r="K18" s="1"/>
    </row>
    <row r="23" spans="1:16" ht="15" thickBot="1" x14ac:dyDescent="0.45">
      <c r="A23" s="7"/>
      <c r="B23" s="7"/>
      <c r="C23" s="7"/>
      <c r="D23" s="7"/>
      <c r="E23" s="7"/>
      <c r="F23" s="7"/>
      <c r="G23" s="7"/>
      <c r="H23" s="7"/>
      <c r="I23" s="7"/>
      <c r="J23" s="7"/>
      <c r="K23" s="7"/>
      <c r="L23" s="7"/>
      <c r="M23" s="7"/>
      <c r="N23" s="7"/>
      <c r="O23" s="7"/>
      <c r="P23" s="7"/>
    </row>
    <row r="25" spans="1:16" x14ac:dyDescent="0.4">
      <c r="A25" s="54" t="s">
        <v>39</v>
      </c>
      <c r="B25" s="55"/>
      <c r="C25" s="55"/>
      <c r="D25" s="55"/>
      <c r="E25" s="56"/>
    </row>
    <row r="27" spans="1:16" x14ac:dyDescent="0.4">
      <c r="B27" s="51" t="s">
        <v>37</v>
      </c>
      <c r="C27" s="51"/>
      <c r="D27" s="51"/>
      <c r="E27" s="8">
        <v>180.48</v>
      </c>
    </row>
    <row r="29" spans="1:16" x14ac:dyDescent="0.4">
      <c r="B29" s="51" t="s">
        <v>38</v>
      </c>
      <c r="C29" s="51"/>
      <c r="D29" s="51"/>
    </row>
    <row r="30" spans="1:16" x14ac:dyDescent="0.4">
      <c r="B30" s="9">
        <f>H8</f>
        <v>208</v>
      </c>
      <c r="C30" s="8">
        <v>0.4</v>
      </c>
      <c r="D30" s="8">
        <f>B30*C30</f>
        <v>83.2</v>
      </c>
    </row>
    <row r="31" spans="1:16" x14ac:dyDescent="0.4">
      <c r="B31" s="9">
        <f t="shared" ref="B31:B33" si="4">H9</f>
        <v>119.07000000000001</v>
      </c>
      <c r="C31" s="8">
        <v>0.4</v>
      </c>
      <c r="D31" s="8">
        <f>B31*C31</f>
        <v>47.628000000000007</v>
      </c>
    </row>
    <row r="32" spans="1:16" x14ac:dyDescent="0.4">
      <c r="B32" s="9">
        <f t="shared" si="4"/>
        <v>370</v>
      </c>
      <c r="C32" s="8">
        <v>1</v>
      </c>
      <c r="D32" s="8">
        <f>B32*C32</f>
        <v>370</v>
      </c>
    </row>
    <row r="33" spans="2:4" x14ac:dyDescent="0.4">
      <c r="B33" s="9">
        <f t="shared" si="4"/>
        <v>370</v>
      </c>
      <c r="C33" s="8">
        <v>1.5</v>
      </c>
      <c r="D33" s="8">
        <f>B33*C33</f>
        <v>555</v>
      </c>
    </row>
    <row r="34" spans="2:4" x14ac:dyDescent="0.4">
      <c r="D34" s="8">
        <f>SUM(D30:D33)</f>
        <v>1055.828</v>
      </c>
    </row>
    <row r="36" spans="2:4" x14ac:dyDescent="0.4">
      <c r="B36" s="51" t="s">
        <v>40</v>
      </c>
      <c r="C36" s="51"/>
      <c r="D36" s="51"/>
    </row>
    <row r="37" spans="2:4" x14ac:dyDescent="0.4">
      <c r="B37" s="9">
        <f>H8</f>
        <v>208</v>
      </c>
      <c r="C37" s="8">
        <v>1</v>
      </c>
      <c r="D37" s="8">
        <f>B37*C37</f>
        <v>208</v>
      </c>
    </row>
    <row r="38" spans="2:4" x14ac:dyDescent="0.4">
      <c r="B38" s="9">
        <f t="shared" ref="B38:B40" si="5">H9</f>
        <v>119.07000000000001</v>
      </c>
      <c r="C38" s="8">
        <v>1</v>
      </c>
      <c r="D38" s="8">
        <f>B38*C38</f>
        <v>119.07000000000001</v>
      </c>
    </row>
    <row r="39" spans="2:4" x14ac:dyDescent="0.4">
      <c r="B39" s="9">
        <f t="shared" si="5"/>
        <v>370</v>
      </c>
      <c r="C39" s="8">
        <v>1.05</v>
      </c>
      <c r="D39" s="8">
        <f>B39*C39</f>
        <v>388.5</v>
      </c>
    </row>
    <row r="40" spans="2:4" x14ac:dyDescent="0.4">
      <c r="B40" s="9">
        <f t="shared" si="5"/>
        <v>370</v>
      </c>
      <c r="C40" s="8">
        <v>1.1000000000000001</v>
      </c>
      <c r="D40" s="8">
        <f>B40*C40</f>
        <v>407.00000000000006</v>
      </c>
    </row>
    <row r="41" spans="2:4" x14ac:dyDescent="0.4">
      <c r="D41" s="8">
        <f>SUM(D37:D40)</f>
        <v>1122.57</v>
      </c>
    </row>
    <row r="43" spans="2:4" x14ac:dyDescent="0.4">
      <c r="B43" s="51" t="s">
        <v>41</v>
      </c>
      <c r="C43" s="51"/>
      <c r="D43" s="51"/>
    </row>
    <row r="44" spans="2:4" x14ac:dyDescent="0.4">
      <c r="B44" s="9">
        <f>E8</f>
        <v>65</v>
      </c>
      <c r="C44" s="10">
        <v>1500</v>
      </c>
      <c r="D44" s="8">
        <f>B44*C44</f>
        <v>97500</v>
      </c>
    </row>
    <row r="45" spans="2:4" x14ac:dyDescent="0.4">
      <c r="B45" s="9">
        <f t="shared" ref="B45:B47" si="6">E9</f>
        <v>28.35</v>
      </c>
      <c r="C45" s="10">
        <v>2500</v>
      </c>
      <c r="D45" s="8">
        <f>B45*C45</f>
        <v>70875</v>
      </c>
    </row>
    <row r="46" spans="2:4" x14ac:dyDescent="0.4">
      <c r="B46" s="9">
        <f t="shared" si="6"/>
        <v>102.25</v>
      </c>
      <c r="C46" s="10">
        <v>2000</v>
      </c>
      <c r="D46" s="8">
        <f>B46*C46</f>
        <v>204500</v>
      </c>
    </row>
    <row r="47" spans="2:4" x14ac:dyDescent="0.4">
      <c r="B47" s="9">
        <f t="shared" si="6"/>
        <v>102.25</v>
      </c>
      <c r="C47" s="10">
        <v>2200</v>
      </c>
      <c r="D47" s="8">
        <f>B47*C47</f>
        <v>224950</v>
      </c>
    </row>
    <row r="48" spans="2:4" x14ac:dyDescent="0.4">
      <c r="B48" s="9">
        <v>25.95</v>
      </c>
      <c r="C48" s="10">
        <v>1200</v>
      </c>
      <c r="D48" s="8">
        <f t="shared" ref="D48:D49" si="7">B48*C48</f>
        <v>31140</v>
      </c>
    </row>
    <row r="49" spans="2:5" x14ac:dyDescent="0.4">
      <c r="B49" s="9">
        <v>9.7200000000000006</v>
      </c>
      <c r="C49" s="10">
        <v>1200</v>
      </c>
      <c r="D49" s="8">
        <f t="shared" si="7"/>
        <v>11664</v>
      </c>
    </row>
    <row r="50" spans="2:5" x14ac:dyDescent="0.4">
      <c r="D50" s="8">
        <f>SUM(D44:D49)</f>
        <v>640629</v>
      </c>
    </row>
    <row r="52" spans="2:5" x14ac:dyDescent="0.4">
      <c r="B52" s="51" t="s">
        <v>50</v>
      </c>
      <c r="C52" s="51"/>
      <c r="D52" s="51"/>
      <c r="E52" s="8">
        <v>200.4</v>
      </c>
    </row>
  </sheetData>
  <mergeCells count="26">
    <mergeCell ref="G3:I3"/>
    <mergeCell ref="F4:F5"/>
    <mergeCell ref="P4:P5"/>
    <mergeCell ref="A4:A5"/>
    <mergeCell ref="B4:B5"/>
    <mergeCell ref="G4:G5"/>
    <mergeCell ref="K4:M4"/>
    <mergeCell ref="O4:O5"/>
    <mergeCell ref="J4:J5"/>
    <mergeCell ref="H4:H5"/>
    <mergeCell ref="I4:I5"/>
    <mergeCell ref="N4:N5"/>
    <mergeCell ref="B52:D52"/>
    <mergeCell ref="B43:D43"/>
    <mergeCell ref="C4:C5"/>
    <mergeCell ref="D4:D5"/>
    <mergeCell ref="E4:E5"/>
    <mergeCell ref="B27:D27"/>
    <mergeCell ref="B29:D29"/>
    <mergeCell ref="A25:E25"/>
    <mergeCell ref="B36:D36"/>
    <mergeCell ref="B16:E16"/>
    <mergeCell ref="B17:I17"/>
    <mergeCell ref="B18:I18"/>
    <mergeCell ref="A7:A9"/>
    <mergeCell ref="A12:A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E70BD-967A-4776-A21D-C12CFA7B6C25}">
  <dimension ref="A1:K125"/>
  <sheetViews>
    <sheetView workbookViewId="0">
      <selection activeCell="D19" sqref="D19"/>
    </sheetView>
  </sheetViews>
  <sheetFormatPr defaultRowHeight="14.6" x14ac:dyDescent="0.4"/>
  <cols>
    <col min="1" max="1" width="119.07421875" customWidth="1"/>
  </cols>
  <sheetData>
    <row r="1" spans="1:1" x14ac:dyDescent="0.4">
      <c r="A1" s="60" t="s">
        <v>51</v>
      </c>
    </row>
    <row r="2" spans="1:1" x14ac:dyDescent="0.4">
      <c r="A2" s="61"/>
    </row>
    <row r="3" spans="1:1" ht="24.9" x14ac:dyDescent="0.4">
      <c r="A3" s="61" t="s">
        <v>52</v>
      </c>
    </row>
    <row r="4" spans="1:1" x14ac:dyDescent="0.4">
      <c r="A4" s="61"/>
    </row>
    <row r="5" spans="1:1" x14ac:dyDescent="0.4">
      <c r="A5" s="62" t="s">
        <v>53</v>
      </c>
    </row>
    <row r="6" spans="1:1" x14ac:dyDescent="0.4">
      <c r="A6" s="61" t="s">
        <v>54</v>
      </c>
    </row>
    <row r="7" spans="1:1" x14ac:dyDescent="0.4">
      <c r="A7" s="61" t="s">
        <v>55</v>
      </c>
    </row>
    <row r="8" spans="1:1" x14ac:dyDescent="0.4">
      <c r="A8" s="61" t="s">
        <v>56</v>
      </c>
    </row>
    <row r="9" spans="1:1" x14ac:dyDescent="0.4">
      <c r="A9" s="61"/>
    </row>
    <row r="10" spans="1:1" x14ac:dyDescent="0.4">
      <c r="A10" s="62" t="s">
        <v>57</v>
      </c>
    </row>
    <row r="11" spans="1:1" x14ac:dyDescent="0.4">
      <c r="A11" s="61" t="s">
        <v>58</v>
      </c>
    </row>
    <row r="12" spans="1:1" x14ac:dyDescent="0.4">
      <c r="A12" s="61" t="s">
        <v>59</v>
      </c>
    </row>
    <row r="13" spans="1:1" x14ac:dyDescent="0.4">
      <c r="A13" s="61" t="s">
        <v>60</v>
      </c>
    </row>
    <row r="14" spans="1:1" x14ac:dyDescent="0.4">
      <c r="A14" s="61"/>
    </row>
    <row r="15" spans="1:1" x14ac:dyDescent="0.4">
      <c r="A15" s="62" t="s">
        <v>61</v>
      </c>
    </row>
    <row r="16" spans="1:1" x14ac:dyDescent="0.4">
      <c r="A16" s="61" t="s">
        <v>62</v>
      </c>
    </row>
    <row r="17" spans="1:1" x14ac:dyDescent="0.4">
      <c r="A17" s="61" t="s">
        <v>63</v>
      </c>
    </row>
    <row r="18" spans="1:1" ht="24.9" x14ac:dyDescent="0.4">
      <c r="A18" s="61" t="s">
        <v>64</v>
      </c>
    </row>
    <row r="19" spans="1:1" x14ac:dyDescent="0.4">
      <c r="A19" s="61"/>
    </row>
    <row r="20" spans="1:1" x14ac:dyDescent="0.4">
      <c r="A20" s="62" t="s">
        <v>65</v>
      </c>
    </row>
    <row r="21" spans="1:1" x14ac:dyDescent="0.4">
      <c r="A21" s="61" t="s">
        <v>66</v>
      </c>
    </row>
    <row r="22" spans="1:1" x14ac:dyDescent="0.4">
      <c r="A22" s="61" t="s">
        <v>67</v>
      </c>
    </row>
    <row r="23" spans="1:1" x14ac:dyDescent="0.4">
      <c r="A23" s="61"/>
    </row>
    <row r="24" spans="1:1" x14ac:dyDescent="0.4">
      <c r="A24" s="62" t="s">
        <v>68</v>
      </c>
    </row>
    <row r="25" spans="1:1" x14ac:dyDescent="0.4">
      <c r="A25" s="61" t="s">
        <v>69</v>
      </c>
    </row>
    <row r="26" spans="1:1" ht="24.9" x14ac:dyDescent="0.4">
      <c r="A26" s="61" t="s">
        <v>70</v>
      </c>
    </row>
    <row r="27" spans="1:1" x14ac:dyDescent="0.4">
      <c r="A27" s="61"/>
    </row>
    <row r="28" spans="1:1" x14ac:dyDescent="0.4">
      <c r="A28" s="62" t="s">
        <v>71</v>
      </c>
    </row>
    <row r="29" spans="1:1" x14ac:dyDescent="0.4">
      <c r="A29" s="61" t="s">
        <v>72</v>
      </c>
    </row>
    <row r="30" spans="1:1" x14ac:dyDescent="0.4">
      <c r="A30" s="61" t="s">
        <v>73</v>
      </c>
    </row>
    <row r="31" spans="1:1" x14ac:dyDescent="0.4">
      <c r="A31" s="61"/>
    </row>
    <row r="32" spans="1:1" x14ac:dyDescent="0.4">
      <c r="A32" s="62" t="s">
        <v>74</v>
      </c>
    </row>
    <row r="33" spans="1:1" x14ac:dyDescent="0.4">
      <c r="A33" s="61" t="s">
        <v>75</v>
      </c>
    </row>
    <row r="34" spans="1:1" ht="49.75" x14ac:dyDescent="0.4">
      <c r="A34" s="61" t="s">
        <v>76</v>
      </c>
    </row>
    <row r="35" spans="1:1" ht="24.9" x14ac:dyDescent="0.4">
      <c r="A35" s="61" t="s">
        <v>77</v>
      </c>
    </row>
    <row r="36" spans="1:1" x14ac:dyDescent="0.4">
      <c r="A36" s="61"/>
    </row>
    <row r="37" spans="1:1" x14ac:dyDescent="0.4">
      <c r="A37" s="62" t="s">
        <v>78</v>
      </c>
    </row>
    <row r="38" spans="1:1" x14ac:dyDescent="0.4">
      <c r="A38" s="61" t="s">
        <v>79</v>
      </c>
    </row>
    <row r="39" spans="1:1" x14ac:dyDescent="0.4">
      <c r="A39" s="61" t="s">
        <v>80</v>
      </c>
    </row>
    <row r="40" spans="1:1" x14ac:dyDescent="0.4">
      <c r="A40" s="61"/>
    </row>
    <row r="41" spans="1:1" x14ac:dyDescent="0.4">
      <c r="A41" s="62" t="s">
        <v>81</v>
      </c>
    </row>
    <row r="42" spans="1:1" x14ac:dyDescent="0.4">
      <c r="A42" s="61" t="s">
        <v>82</v>
      </c>
    </row>
    <row r="43" spans="1:1" ht="24.9" x14ac:dyDescent="0.4">
      <c r="A43" s="61" t="s">
        <v>83</v>
      </c>
    </row>
    <row r="44" spans="1:1" x14ac:dyDescent="0.4">
      <c r="A44" s="61" t="s">
        <v>84</v>
      </c>
    </row>
    <row r="45" spans="1:1" x14ac:dyDescent="0.4">
      <c r="A45" s="61" t="s">
        <v>85</v>
      </c>
    </row>
    <row r="46" spans="1:1" x14ac:dyDescent="0.4">
      <c r="A46" s="61"/>
    </row>
    <row r="47" spans="1:1" x14ac:dyDescent="0.4">
      <c r="A47" s="62" t="s">
        <v>86</v>
      </c>
    </row>
    <row r="48" spans="1:1" x14ac:dyDescent="0.4">
      <c r="A48" s="61" t="s">
        <v>87</v>
      </c>
    </row>
    <row r="49" spans="1:1" x14ac:dyDescent="0.4">
      <c r="A49" s="61" t="s">
        <v>88</v>
      </c>
    </row>
    <row r="50" spans="1:1" x14ac:dyDescent="0.4">
      <c r="A50" s="61" t="s">
        <v>89</v>
      </c>
    </row>
    <row r="51" spans="1:1" x14ac:dyDescent="0.4">
      <c r="A51" s="61" t="s">
        <v>90</v>
      </c>
    </row>
    <row r="52" spans="1:1" x14ac:dyDescent="0.4">
      <c r="A52" s="61" t="s">
        <v>91</v>
      </c>
    </row>
    <row r="53" spans="1:1" x14ac:dyDescent="0.4">
      <c r="A53" s="61" t="s">
        <v>92</v>
      </c>
    </row>
    <row r="54" spans="1:1" x14ac:dyDescent="0.4">
      <c r="A54" s="61" t="s">
        <v>93</v>
      </c>
    </row>
    <row r="55" spans="1:1" x14ac:dyDescent="0.4">
      <c r="A55" s="61" t="s">
        <v>94</v>
      </c>
    </row>
    <row r="56" spans="1:1" x14ac:dyDescent="0.4">
      <c r="A56" s="61" t="s">
        <v>95</v>
      </c>
    </row>
    <row r="57" spans="1:1" x14ac:dyDescent="0.4">
      <c r="A57" s="61"/>
    </row>
    <row r="58" spans="1:1" x14ac:dyDescent="0.4">
      <c r="A58" s="62" t="s">
        <v>96</v>
      </c>
    </row>
    <row r="59" spans="1:1" x14ac:dyDescent="0.4">
      <c r="A59" s="61" t="s">
        <v>97</v>
      </c>
    </row>
    <row r="60" spans="1:1" ht="24.9" x14ac:dyDescent="0.4">
      <c r="A60" s="61" t="s">
        <v>98</v>
      </c>
    </row>
    <row r="61" spans="1:1" x14ac:dyDescent="0.4">
      <c r="A61" s="61" t="s">
        <v>99</v>
      </c>
    </row>
    <row r="62" spans="1:1" x14ac:dyDescent="0.4">
      <c r="A62" s="61" t="s">
        <v>100</v>
      </c>
    </row>
    <row r="63" spans="1:1" x14ac:dyDescent="0.4">
      <c r="A63" s="61" t="s">
        <v>101</v>
      </c>
    </row>
    <row r="64" spans="1:1" x14ac:dyDescent="0.4">
      <c r="A64" s="61" t="s">
        <v>102</v>
      </c>
    </row>
    <row r="65" spans="1:1" x14ac:dyDescent="0.4">
      <c r="A65" s="61" t="s">
        <v>103</v>
      </c>
    </row>
    <row r="66" spans="1:1" x14ac:dyDescent="0.4">
      <c r="A66" s="61" t="s">
        <v>104</v>
      </c>
    </row>
    <row r="67" spans="1:1" x14ac:dyDescent="0.4">
      <c r="A67" s="61" t="s">
        <v>105</v>
      </c>
    </row>
    <row r="68" spans="1:1" x14ac:dyDescent="0.4">
      <c r="A68" s="61"/>
    </row>
    <row r="69" spans="1:1" x14ac:dyDescent="0.4">
      <c r="A69" s="62" t="s">
        <v>106</v>
      </c>
    </row>
    <row r="70" spans="1:1" x14ac:dyDescent="0.4">
      <c r="A70" s="61" t="s">
        <v>107</v>
      </c>
    </row>
    <row r="71" spans="1:1" ht="37.299999999999997" x14ac:dyDescent="0.4">
      <c r="A71" s="61" t="s">
        <v>108</v>
      </c>
    </row>
    <row r="72" spans="1:1" x14ac:dyDescent="0.4">
      <c r="A72" s="61" t="s">
        <v>109</v>
      </c>
    </row>
    <row r="73" spans="1:1" x14ac:dyDescent="0.4">
      <c r="A73" s="61" t="s">
        <v>110</v>
      </c>
    </row>
    <row r="74" spans="1:1" x14ac:dyDescent="0.4">
      <c r="A74" s="61" t="s">
        <v>111</v>
      </c>
    </row>
    <row r="75" spans="1:1" x14ac:dyDescent="0.4">
      <c r="A75" s="61" t="s">
        <v>112</v>
      </c>
    </row>
    <row r="76" spans="1:1" x14ac:dyDescent="0.4">
      <c r="A76" s="61" t="s">
        <v>113</v>
      </c>
    </row>
    <row r="77" spans="1:1" ht="24.9" x14ac:dyDescent="0.4">
      <c r="A77" s="61" t="s">
        <v>114</v>
      </c>
    </row>
    <row r="78" spans="1:1" x14ac:dyDescent="0.4">
      <c r="A78" s="61" t="s">
        <v>115</v>
      </c>
    </row>
    <row r="79" spans="1:1" x14ac:dyDescent="0.4">
      <c r="A79" s="61" t="s">
        <v>116</v>
      </c>
    </row>
    <row r="80" spans="1:1" x14ac:dyDescent="0.4">
      <c r="A80" s="61"/>
    </row>
    <row r="81" spans="1:11" x14ac:dyDescent="0.4">
      <c r="A81" s="62" t="s">
        <v>117</v>
      </c>
    </row>
    <row r="82" spans="1:11" x14ac:dyDescent="0.4">
      <c r="A82" s="61" t="s">
        <v>118</v>
      </c>
    </row>
    <row r="83" spans="1:11" ht="24.9" x14ac:dyDescent="0.4">
      <c r="A83" s="61" t="s">
        <v>119</v>
      </c>
    </row>
    <row r="84" spans="1:11" x14ac:dyDescent="0.4">
      <c r="A84" s="61"/>
    </row>
    <row r="85" spans="1:11" x14ac:dyDescent="0.4">
      <c r="A85" s="62" t="s">
        <v>120</v>
      </c>
    </row>
    <row r="86" spans="1:11" x14ac:dyDescent="0.4">
      <c r="A86" s="61" t="s">
        <v>121</v>
      </c>
    </row>
    <row r="87" spans="1:11" x14ac:dyDescent="0.4">
      <c r="A87" s="61" t="s">
        <v>122</v>
      </c>
    </row>
    <row r="88" spans="1:11" x14ac:dyDescent="0.4">
      <c r="A88" s="61"/>
    </row>
    <row r="89" spans="1:11" x14ac:dyDescent="0.4">
      <c r="A89" s="61"/>
    </row>
    <row r="90" spans="1:11" x14ac:dyDescent="0.4">
      <c r="A90" s="61"/>
    </row>
    <row r="91" spans="1:11" x14ac:dyDescent="0.4">
      <c r="A91" s="61" t="s">
        <v>123</v>
      </c>
    </row>
    <row r="92" spans="1:11" x14ac:dyDescent="0.4">
      <c r="A92" s="61"/>
    </row>
    <row r="93" spans="1:11" x14ac:dyDescent="0.4">
      <c r="A93" s="61"/>
    </row>
    <row r="94" spans="1:11" ht="15" thickBot="1" x14ac:dyDescent="0.45">
      <c r="A94" s="63"/>
    </row>
    <row r="95" spans="1:11" ht="15" thickBot="1" x14ac:dyDescent="0.45">
      <c r="A95" s="64">
        <v>1</v>
      </c>
      <c r="B95" s="65">
        <v>2</v>
      </c>
      <c r="C95" s="66">
        <v>3</v>
      </c>
      <c r="D95" s="66">
        <v>4</v>
      </c>
      <c r="E95" s="66">
        <v>5</v>
      </c>
      <c r="F95" s="67">
        <v>6</v>
      </c>
      <c r="G95" s="79"/>
      <c r="H95" s="80"/>
      <c r="I95" s="66">
        <v>7</v>
      </c>
      <c r="J95" s="66">
        <v>8</v>
      </c>
      <c r="K95" s="1"/>
    </row>
    <row r="96" spans="1:11" ht="37.299999999999997" x14ac:dyDescent="0.4">
      <c r="A96" s="81" t="s">
        <v>0</v>
      </c>
      <c r="B96" s="81" t="s">
        <v>1</v>
      </c>
      <c r="C96" s="68" t="s">
        <v>124</v>
      </c>
      <c r="D96" s="68" t="s">
        <v>126</v>
      </c>
      <c r="E96" s="68" t="s">
        <v>128</v>
      </c>
      <c r="F96" s="68" t="s">
        <v>129</v>
      </c>
      <c r="G96" s="83" t="s">
        <v>2</v>
      </c>
      <c r="H96" s="68" t="s">
        <v>130</v>
      </c>
      <c r="I96" s="68" t="s">
        <v>132</v>
      </c>
      <c r="J96" s="68" t="s">
        <v>134</v>
      </c>
      <c r="K96" s="1"/>
    </row>
    <row r="97" spans="1:11" ht="37.75" thickBot="1" x14ac:dyDescent="0.45">
      <c r="A97" s="82"/>
      <c r="B97" s="82"/>
      <c r="C97" s="69" t="s">
        <v>125</v>
      </c>
      <c r="D97" s="69" t="s">
        <v>127</v>
      </c>
      <c r="E97" s="69" t="s">
        <v>125</v>
      </c>
      <c r="F97" s="70" t="s">
        <v>125</v>
      </c>
      <c r="G97" s="84"/>
      <c r="H97" s="70" t="s">
        <v>131</v>
      </c>
      <c r="I97" s="69" t="s">
        <v>133</v>
      </c>
      <c r="J97" s="69" t="s">
        <v>135</v>
      </c>
      <c r="K97" s="1"/>
    </row>
    <row r="98" spans="1:11" ht="15" thickBot="1" x14ac:dyDescent="0.45">
      <c r="A98" s="71"/>
      <c r="B98" s="72"/>
      <c r="C98" s="69"/>
      <c r="D98" s="69"/>
      <c r="E98" s="73" t="s">
        <v>3</v>
      </c>
      <c r="F98" s="73" t="s">
        <v>4</v>
      </c>
      <c r="G98" s="73" t="s">
        <v>5</v>
      </c>
      <c r="H98" s="73" t="s">
        <v>5</v>
      </c>
      <c r="I98" s="73" t="s">
        <v>5</v>
      </c>
      <c r="J98" s="73" t="s">
        <v>5</v>
      </c>
      <c r="K98" s="1"/>
    </row>
    <row r="99" spans="1:11" ht="15" thickBot="1" x14ac:dyDescent="0.45">
      <c r="A99" s="86" t="s">
        <v>6</v>
      </c>
      <c r="B99" s="74" t="s">
        <v>7</v>
      </c>
      <c r="C99" s="73" t="s">
        <v>8</v>
      </c>
      <c r="D99" s="73">
        <v>1</v>
      </c>
      <c r="E99" s="75" t="s">
        <v>136</v>
      </c>
      <c r="F99" s="75" t="s">
        <v>137</v>
      </c>
      <c r="G99" s="75" t="s">
        <v>138</v>
      </c>
      <c r="H99" s="74"/>
      <c r="I99" s="74"/>
      <c r="J99" s="75" t="s">
        <v>138</v>
      </c>
      <c r="K99" s="1"/>
    </row>
    <row r="100" spans="1:11" ht="15" thickBot="1" x14ac:dyDescent="0.45">
      <c r="A100" s="85"/>
      <c r="B100" s="74" t="s">
        <v>9</v>
      </c>
      <c r="C100" s="73" t="s">
        <v>10</v>
      </c>
      <c r="D100" s="73">
        <v>5</v>
      </c>
      <c r="E100" s="76" t="s">
        <v>139</v>
      </c>
      <c r="F100" s="75" t="s">
        <v>137</v>
      </c>
      <c r="G100" s="74"/>
      <c r="H100" s="75" t="s">
        <v>140</v>
      </c>
      <c r="I100" s="75" t="s">
        <v>141</v>
      </c>
      <c r="J100" s="75" t="s">
        <v>142</v>
      </c>
      <c r="K100" s="1"/>
    </row>
    <row r="101" spans="1:11" ht="15" thickBot="1" x14ac:dyDescent="0.45">
      <c r="A101" s="87"/>
      <c r="B101" s="74" t="s">
        <v>11</v>
      </c>
      <c r="C101" s="73" t="s">
        <v>12</v>
      </c>
      <c r="D101" s="73">
        <v>2</v>
      </c>
      <c r="E101" s="76" t="s">
        <v>143</v>
      </c>
      <c r="F101" s="75" t="s">
        <v>144</v>
      </c>
      <c r="G101" s="74"/>
      <c r="H101" s="75" t="s">
        <v>145</v>
      </c>
      <c r="I101" s="75" t="s">
        <v>146</v>
      </c>
      <c r="J101" s="75" t="s">
        <v>147</v>
      </c>
      <c r="K101" s="1"/>
    </row>
    <row r="102" spans="1:11" ht="15" thickBot="1" x14ac:dyDescent="0.45">
      <c r="A102" s="77" t="s">
        <v>13</v>
      </c>
      <c r="B102" s="74" t="s">
        <v>14</v>
      </c>
      <c r="C102" s="73" t="s">
        <v>15</v>
      </c>
      <c r="D102" s="73">
        <v>6</v>
      </c>
      <c r="E102" s="76" t="s">
        <v>148</v>
      </c>
      <c r="F102" s="75" t="s">
        <v>149</v>
      </c>
      <c r="G102" s="74"/>
      <c r="H102" s="75" t="s">
        <v>150</v>
      </c>
      <c r="I102" s="75" t="s">
        <v>151</v>
      </c>
      <c r="J102" s="75" t="s">
        <v>152</v>
      </c>
      <c r="K102" s="1"/>
    </row>
    <row r="103" spans="1:11" ht="15" thickBot="1" x14ac:dyDescent="0.45">
      <c r="A103" s="77" t="s">
        <v>16</v>
      </c>
      <c r="B103" s="74" t="s">
        <v>17</v>
      </c>
      <c r="C103" s="73" t="s">
        <v>18</v>
      </c>
      <c r="D103" s="73">
        <v>4</v>
      </c>
      <c r="E103" s="76" t="s">
        <v>148</v>
      </c>
      <c r="F103" s="75" t="s">
        <v>149</v>
      </c>
      <c r="G103" s="74"/>
      <c r="H103" s="75" t="s">
        <v>150</v>
      </c>
      <c r="I103" s="75" t="s">
        <v>151</v>
      </c>
      <c r="J103" s="75" t="s">
        <v>152</v>
      </c>
      <c r="K103" s="1"/>
    </row>
    <row r="104" spans="1:11" ht="15" thickBot="1" x14ac:dyDescent="0.45">
      <c r="A104" s="86" t="s">
        <v>19</v>
      </c>
      <c r="B104" s="74" t="s">
        <v>20</v>
      </c>
      <c r="C104" s="73" t="s">
        <v>21</v>
      </c>
      <c r="D104" s="73">
        <v>2</v>
      </c>
      <c r="E104" s="75" t="s">
        <v>153</v>
      </c>
      <c r="F104" s="75" t="s">
        <v>154</v>
      </c>
      <c r="G104" s="75" t="s">
        <v>155</v>
      </c>
      <c r="H104" s="74"/>
      <c r="I104" s="74"/>
      <c r="J104" s="75" t="s">
        <v>155</v>
      </c>
      <c r="K104" s="1"/>
    </row>
    <row r="105" spans="1:11" ht="15" thickBot="1" x14ac:dyDescent="0.45">
      <c r="A105" s="87"/>
      <c r="B105" s="74" t="s">
        <v>22</v>
      </c>
      <c r="C105" s="73" t="s">
        <v>23</v>
      </c>
      <c r="D105" s="73">
        <v>1</v>
      </c>
      <c r="E105" s="75" t="s">
        <v>156</v>
      </c>
      <c r="F105" s="75" t="s">
        <v>154</v>
      </c>
      <c r="G105" s="75" t="s">
        <v>157</v>
      </c>
      <c r="H105" s="74"/>
      <c r="I105" s="74"/>
      <c r="J105" s="75" t="s">
        <v>157</v>
      </c>
      <c r="K105" s="1"/>
    </row>
    <row r="106" spans="1:11" ht="15" thickBot="1" x14ac:dyDescent="0.45">
      <c r="A106" s="78" t="s">
        <v>24</v>
      </c>
      <c r="B106" s="74"/>
      <c r="C106" s="74"/>
      <c r="D106" s="74"/>
      <c r="E106" s="75" t="s">
        <v>158</v>
      </c>
      <c r="F106" s="74"/>
      <c r="G106" s="75" t="s">
        <v>159</v>
      </c>
      <c r="H106" s="75" t="s">
        <v>160</v>
      </c>
      <c r="I106" s="75" t="s">
        <v>161</v>
      </c>
      <c r="J106" s="75" t="s">
        <v>162</v>
      </c>
      <c r="K106" s="1"/>
    </row>
    <row r="107" spans="1:11" x14ac:dyDescent="0.4">
      <c r="A107" s="6"/>
      <c r="B107" s="4"/>
      <c r="C107" s="6"/>
      <c r="D107" s="6"/>
      <c r="E107" s="2"/>
      <c r="F107" s="6"/>
      <c r="G107" s="6"/>
      <c r="H107" s="6"/>
      <c r="I107" s="6"/>
      <c r="J107" s="6"/>
      <c r="K107" s="1"/>
    </row>
    <row r="108" spans="1:11" x14ac:dyDescent="0.4">
      <c r="A108" s="6" t="s">
        <v>25</v>
      </c>
      <c r="B108" s="57" t="s">
        <v>26</v>
      </c>
      <c r="C108" s="57"/>
      <c r="D108" s="57"/>
      <c r="E108" s="57"/>
      <c r="F108" s="6"/>
      <c r="G108" s="6"/>
      <c r="H108" s="6"/>
      <c r="I108" s="6"/>
      <c r="J108" s="6"/>
      <c r="K108" s="1"/>
    </row>
    <row r="109" spans="1:11" x14ac:dyDescent="0.4">
      <c r="A109" s="6"/>
      <c r="B109" s="57" t="s">
        <v>27</v>
      </c>
      <c r="C109" s="57"/>
      <c r="D109" s="57"/>
      <c r="E109" s="57"/>
      <c r="F109" s="57"/>
      <c r="G109" s="57"/>
      <c r="H109" s="57"/>
      <c r="I109" s="57"/>
      <c r="J109" s="6"/>
      <c r="K109" s="1"/>
    </row>
    <row r="110" spans="1:11" x14ac:dyDescent="0.4">
      <c r="A110" s="5"/>
      <c r="B110" s="57" t="s">
        <v>28</v>
      </c>
      <c r="C110" s="57"/>
      <c r="D110" s="57"/>
      <c r="E110" s="57"/>
      <c r="F110" s="57"/>
      <c r="G110" s="57"/>
      <c r="H110" s="57"/>
      <c r="I110" s="57"/>
      <c r="J110" s="6"/>
      <c r="K110" s="1"/>
    </row>
    <row r="111" spans="1:11" ht="15" thickBot="1" x14ac:dyDescent="0.45">
      <c r="A111" s="61"/>
    </row>
    <row r="112" spans="1:11" ht="15" thickBot="1" x14ac:dyDescent="0.45">
      <c r="A112" s="64">
        <v>9</v>
      </c>
      <c r="B112" s="65">
        <v>10</v>
      </c>
      <c r="C112" s="65">
        <v>11</v>
      </c>
      <c r="D112" s="65">
        <v>12</v>
      </c>
      <c r="E112" s="88">
        <v>13</v>
      </c>
      <c r="F112" s="88">
        <v>14</v>
      </c>
    </row>
    <row r="113" spans="1:6" ht="24.9" x14ac:dyDescent="0.4">
      <c r="A113" s="94" t="s">
        <v>29</v>
      </c>
      <c r="B113" s="95"/>
      <c r="C113" s="96"/>
      <c r="D113" s="68" t="s">
        <v>30</v>
      </c>
      <c r="E113" s="100" t="s">
        <v>31</v>
      </c>
      <c r="F113" s="100" t="s">
        <v>32</v>
      </c>
    </row>
    <row r="114" spans="1:6" ht="25.3" thickBot="1" x14ac:dyDescent="0.45">
      <c r="A114" s="97"/>
      <c r="B114" s="98"/>
      <c r="C114" s="99"/>
      <c r="D114" s="68" t="s">
        <v>163</v>
      </c>
      <c r="E114" s="101"/>
      <c r="F114" s="101"/>
    </row>
    <row r="115" spans="1:6" ht="25.3" thickBot="1" x14ac:dyDescent="0.45">
      <c r="A115" s="77" t="s">
        <v>33</v>
      </c>
      <c r="B115" s="89" t="s">
        <v>34</v>
      </c>
      <c r="C115" s="89" t="s">
        <v>35</v>
      </c>
      <c r="D115" s="69" t="s">
        <v>164</v>
      </c>
      <c r="E115" s="102"/>
      <c r="F115" s="102"/>
    </row>
    <row r="116" spans="1:6" ht="15" thickBot="1" x14ac:dyDescent="0.45">
      <c r="A116" s="90" t="s">
        <v>36</v>
      </c>
      <c r="B116" s="91" t="s">
        <v>36</v>
      </c>
      <c r="C116" s="91" t="s">
        <v>36</v>
      </c>
      <c r="D116" s="91" t="s">
        <v>36</v>
      </c>
      <c r="E116" s="73" t="s">
        <v>3</v>
      </c>
      <c r="F116" s="91" t="s">
        <v>36</v>
      </c>
    </row>
    <row r="117" spans="1:6" ht="15" thickBot="1" x14ac:dyDescent="0.45">
      <c r="A117" s="78"/>
      <c r="B117" s="74"/>
      <c r="C117" s="74"/>
      <c r="D117" s="74"/>
      <c r="E117" s="74"/>
      <c r="F117" s="6"/>
    </row>
    <row r="118" spans="1:6" ht="15" thickBot="1" x14ac:dyDescent="0.45">
      <c r="A118" s="92">
        <v>193</v>
      </c>
      <c r="B118" s="75">
        <v>79</v>
      </c>
      <c r="C118" s="75">
        <v>185</v>
      </c>
      <c r="D118" s="75">
        <v>138</v>
      </c>
      <c r="E118" s="75" t="s">
        <v>165</v>
      </c>
      <c r="F118" s="93">
        <v>138</v>
      </c>
    </row>
    <row r="119" spans="1:6" ht="15" thickBot="1" x14ac:dyDescent="0.45">
      <c r="A119" s="92">
        <v>111</v>
      </c>
      <c r="B119" s="75">
        <v>45</v>
      </c>
      <c r="C119" s="75">
        <v>106</v>
      </c>
      <c r="D119" s="75">
        <v>121</v>
      </c>
      <c r="E119" s="75" t="s">
        <v>166</v>
      </c>
      <c r="F119" s="75">
        <v>121</v>
      </c>
    </row>
    <row r="120" spans="1:6" ht="15" thickBot="1" x14ac:dyDescent="0.45">
      <c r="A120" s="92">
        <v>348</v>
      </c>
      <c r="B120" s="75">
        <v>350</v>
      </c>
      <c r="C120" s="75">
        <v>346</v>
      </c>
      <c r="D120" s="75">
        <v>320</v>
      </c>
      <c r="E120" s="75" t="s">
        <v>167</v>
      </c>
      <c r="F120" s="75">
        <v>320</v>
      </c>
    </row>
    <row r="121" spans="1:6" ht="15" thickBot="1" x14ac:dyDescent="0.45">
      <c r="A121" s="92">
        <v>348</v>
      </c>
      <c r="B121" s="75">
        <v>526</v>
      </c>
      <c r="C121" s="75">
        <v>363</v>
      </c>
      <c r="D121" s="75">
        <v>340</v>
      </c>
      <c r="E121" s="75" t="s">
        <v>168</v>
      </c>
      <c r="F121" s="75">
        <v>340</v>
      </c>
    </row>
    <row r="122" spans="1:6" ht="15" thickBot="1" x14ac:dyDescent="0.45">
      <c r="A122" s="78"/>
      <c r="B122" s="74"/>
      <c r="C122" s="74"/>
      <c r="D122" s="75">
        <v>65</v>
      </c>
      <c r="E122" s="75" t="s">
        <v>169</v>
      </c>
      <c r="F122" s="75">
        <v>65</v>
      </c>
    </row>
    <row r="123" spans="1:6" ht="15" thickBot="1" x14ac:dyDescent="0.45">
      <c r="A123" s="78"/>
      <c r="B123" s="74"/>
      <c r="C123" s="74"/>
      <c r="D123" s="75">
        <v>16</v>
      </c>
      <c r="E123" s="75" t="s">
        <v>137</v>
      </c>
      <c r="F123" s="75">
        <v>16</v>
      </c>
    </row>
    <row r="124" spans="1:6" ht="15" thickBot="1" x14ac:dyDescent="0.45">
      <c r="A124" s="92">
        <v>1</v>
      </c>
      <c r="B124" s="75">
        <v>1000</v>
      </c>
      <c r="C124" s="75">
        <v>1</v>
      </c>
      <c r="D124" s="75">
        <v>1000</v>
      </c>
      <c r="E124" s="75" t="s">
        <v>170</v>
      </c>
      <c r="F124" s="75">
        <v>1000</v>
      </c>
    </row>
    <row r="125" spans="1:6" x14ac:dyDescent="0.4">
      <c r="A125" s="61"/>
    </row>
  </sheetData>
  <mergeCells count="12">
    <mergeCell ref="B108:E108"/>
    <mergeCell ref="B109:I109"/>
    <mergeCell ref="B110:I110"/>
    <mergeCell ref="A113:C114"/>
    <mergeCell ref="E113:E115"/>
    <mergeCell ref="F113:F115"/>
    <mergeCell ref="G95:H95"/>
    <mergeCell ref="A96:A97"/>
    <mergeCell ref="B96:B97"/>
    <mergeCell ref="G96:G97"/>
    <mergeCell ref="A99:A101"/>
    <mergeCell ref="A104:A10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ΠΙΝΑΚΑΣ</vt:lpstr>
      <vt:lpstr>ΟΔΗΓΙΕΣ</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elena</dc:creator>
  <cp:lastModifiedBy>Georgia Georgala</cp:lastModifiedBy>
  <dcterms:created xsi:type="dcterms:W3CDTF">2014-07-29T11:27:46Z</dcterms:created>
  <dcterms:modified xsi:type="dcterms:W3CDTF">2025-09-30T17:59:05Z</dcterms:modified>
</cp:coreProperties>
</file>